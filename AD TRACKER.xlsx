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000bbb96ae7da6/Documents/"/>
    </mc:Choice>
  </mc:AlternateContent>
  <xr:revisionPtr revIDLastSave="940" documentId="8_{A6E06F41-F16B-49B5-A86C-E2EE9AB570A3}" xr6:coauthVersionLast="47" xr6:coauthVersionMax="47" xr10:uidLastSave="{42356051-2F6F-479F-8E2F-4D26F5C780B2}"/>
  <bookViews>
    <workbookView xWindow="-108" yWindow="-108" windowWidth="23256" windowHeight="12456" firstSheet="5" activeTab="7" xr2:uid="{80CC55B5-0704-4C93-884A-DAD16566E354}"/>
  </bookViews>
  <sheets>
    <sheet name="TRACKER" sheetId="2" r:id="rId1"/>
    <sheet name="fleet utilization" sheetId="3" r:id="rId2"/>
    <sheet name="Sheet2" sheetId="10" r:id="rId3"/>
    <sheet name="maintenance forcasting " sheetId="5" r:id="rId4"/>
    <sheet name="AIRCRAFT MASTER" sheetId="6" r:id="rId5"/>
    <sheet name="AUTOFORECAST" sheetId="7" r:id="rId6"/>
    <sheet name="SheetCOMT1" sheetId="9" r:id="rId7"/>
    <sheet name="COMPONENT TRACKING" sheetId="8" r:id="rId8"/>
  </sheets>
  <definedNames>
    <definedName name="Aircraftlist">tblAircraft[AIRCRAFT]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8" l="1"/>
  <c r="L3" i="8"/>
  <c r="L4" i="8"/>
  <c r="L5" i="8"/>
  <c r="L6" i="8"/>
  <c r="L7" i="8"/>
  <c r="L8" i="8"/>
  <c r="G11" i="8"/>
  <c r="H11" i="8" s="1"/>
  <c r="G8" i="8"/>
  <c r="I8" i="8" s="1"/>
  <c r="J8" i="8" s="1"/>
  <c r="G7" i="8"/>
  <c r="I7" i="8" s="1"/>
  <c r="J7" i="8" s="1"/>
  <c r="G6" i="8"/>
  <c r="I6" i="8" s="1"/>
  <c r="J6" i="8" s="1"/>
  <c r="G5" i="8"/>
  <c r="I5" i="8" s="1"/>
  <c r="J5" i="8" s="1"/>
  <c r="G3" i="8"/>
  <c r="I3" i="8" s="1"/>
  <c r="J3" i="8" s="1"/>
  <c r="G4" i="8"/>
  <c r="I4" i="8" s="1"/>
  <c r="J4" i="8" s="1"/>
  <c r="G2" i="8"/>
  <c r="I2" i="8" s="1"/>
  <c r="J2" i="8" s="1"/>
  <c r="F2" i="7"/>
  <c r="F3" i="7"/>
  <c r="F4" i="7"/>
  <c r="F5" i="7"/>
  <c r="F6" i="7"/>
  <c r="F7" i="7"/>
  <c r="F8" i="7"/>
  <c r="F9" i="7"/>
  <c r="F10" i="7"/>
  <c r="E4" i="7"/>
  <c r="E5" i="7"/>
  <c r="E6" i="7"/>
  <c r="E7" i="7"/>
  <c r="E8" i="7"/>
  <c r="E9" i="7"/>
  <c r="E10" i="7"/>
  <c r="D4" i="7"/>
  <c r="D5" i="7"/>
  <c r="D6" i="7"/>
  <c r="D7" i="7"/>
  <c r="D8" i="7"/>
  <c r="D9" i="7"/>
  <c r="D10" i="7"/>
  <c r="C4" i="7"/>
  <c r="C5" i="7"/>
  <c r="C6" i="7"/>
  <c r="C7" i="7"/>
  <c r="C8" i="7"/>
  <c r="C9" i="7"/>
  <c r="C10" i="7"/>
  <c r="B4" i="7"/>
  <c r="B5" i="7"/>
  <c r="B6" i="7"/>
  <c r="B7" i="7"/>
  <c r="B8" i="7"/>
  <c r="B9" i="7"/>
  <c r="B10" i="7"/>
  <c r="E3" i="7"/>
  <c r="D3" i="7"/>
  <c r="C3" i="7"/>
  <c r="B3" i="7"/>
  <c r="B2" i="7"/>
  <c r="E2" i="7"/>
  <c r="D2" i="7"/>
  <c r="C2" i="7"/>
  <c r="J3" i="5"/>
  <c r="J9" i="5"/>
  <c r="J10" i="5"/>
  <c r="J10" i="3"/>
  <c r="J9" i="3"/>
  <c r="J8" i="3"/>
  <c r="J7" i="3"/>
  <c r="J6" i="3"/>
  <c r="J5" i="3"/>
  <c r="J4" i="3"/>
  <c r="J3" i="3"/>
  <c r="J2" i="3"/>
  <c r="G14" i="5"/>
  <c r="G15" i="5"/>
  <c r="G20" i="5"/>
  <c r="G21" i="5"/>
  <c r="F13" i="5"/>
  <c r="J2" i="5" s="1"/>
  <c r="F14" i="5"/>
  <c r="F15" i="5"/>
  <c r="J4" i="5" s="1"/>
  <c r="F16" i="5"/>
  <c r="J5" i="5" s="1"/>
  <c r="F21" i="5"/>
  <c r="D13" i="5"/>
  <c r="D14" i="5"/>
  <c r="D15" i="5"/>
  <c r="D16" i="5"/>
  <c r="D17" i="5"/>
  <c r="F17" i="5" s="1"/>
  <c r="D18" i="5"/>
  <c r="F18" i="5" s="1"/>
  <c r="G18" i="5" s="1"/>
  <c r="D19" i="5"/>
  <c r="F19" i="5" s="1"/>
  <c r="G19" i="5" s="1"/>
  <c r="D20" i="5"/>
  <c r="F20" i="5" s="1"/>
  <c r="D21" i="5"/>
  <c r="H2" i="5"/>
  <c r="D10" i="5"/>
  <c r="E10" i="5" s="1"/>
  <c r="G10" i="5" s="1"/>
  <c r="H10" i="5" s="1"/>
  <c r="E8" i="5"/>
  <c r="G8" i="5" s="1"/>
  <c r="H8" i="5" s="1"/>
  <c r="D3" i="5"/>
  <c r="E3" i="5" s="1"/>
  <c r="G3" i="5" s="1"/>
  <c r="H3" i="5" s="1"/>
  <c r="D4" i="5"/>
  <c r="E4" i="5" s="1"/>
  <c r="G4" i="5" s="1"/>
  <c r="H4" i="5" s="1"/>
  <c r="D5" i="5"/>
  <c r="E5" i="5" s="1"/>
  <c r="G5" i="5" s="1"/>
  <c r="H5" i="5" s="1"/>
  <c r="D6" i="5"/>
  <c r="E6" i="5" s="1"/>
  <c r="G6" i="5" s="1"/>
  <c r="H6" i="5" s="1"/>
  <c r="D7" i="5"/>
  <c r="E7" i="5" s="1"/>
  <c r="G7" i="5" s="1"/>
  <c r="H7" i="5" s="1"/>
  <c r="D8" i="5"/>
  <c r="D9" i="5"/>
  <c r="E9" i="5" s="1"/>
  <c r="G9" i="5" s="1"/>
  <c r="D2" i="5"/>
  <c r="E2" i="5" s="1"/>
  <c r="G2" i="5" s="1"/>
  <c r="I2" i="5" s="1"/>
  <c r="I5" i="3"/>
  <c r="I6" i="3"/>
  <c r="I7" i="3"/>
  <c r="I8" i="3"/>
  <c r="I9" i="3"/>
  <c r="I10" i="3"/>
  <c r="G2" i="3"/>
  <c r="G3" i="3"/>
  <c r="G4" i="3"/>
  <c r="G5" i="3"/>
  <c r="G6" i="3"/>
  <c r="G7" i="3"/>
  <c r="G8" i="3"/>
  <c r="G9" i="3"/>
  <c r="G10" i="3"/>
  <c r="B17" i="3"/>
  <c r="B16" i="3"/>
  <c r="B14" i="3"/>
  <c r="H2" i="3"/>
  <c r="I2" i="3" s="1"/>
  <c r="H3" i="3"/>
  <c r="I3" i="3" s="1"/>
  <c r="H4" i="3"/>
  <c r="I4" i="3" s="1"/>
  <c r="H5" i="3"/>
  <c r="H6" i="3"/>
  <c r="H7" i="3"/>
  <c r="H8" i="3"/>
  <c r="H9" i="3"/>
  <c r="H10" i="3"/>
  <c r="B15" i="3"/>
  <c r="B13" i="3"/>
  <c r="B12" i="3"/>
  <c r="F3" i="3"/>
  <c r="F4" i="3"/>
  <c r="F5" i="3"/>
  <c r="F6" i="3"/>
  <c r="F7" i="3"/>
  <c r="F8" i="3"/>
  <c r="F9" i="3"/>
  <c r="F10" i="3"/>
  <c r="F2" i="3"/>
  <c r="K7" i="2"/>
  <c r="L7" i="2" s="1"/>
  <c r="J5" i="2"/>
  <c r="K5" i="2" s="1"/>
  <c r="L5" i="2" s="1"/>
  <c r="J6" i="2"/>
  <c r="K6" i="2" s="1"/>
  <c r="L6" i="2" s="1"/>
  <c r="J7" i="2"/>
  <c r="L12" i="2"/>
  <c r="L13" i="2"/>
  <c r="L14" i="2"/>
  <c r="L15" i="2"/>
  <c r="L27" i="2"/>
  <c r="L33" i="2"/>
  <c r="L34" i="2"/>
  <c r="L35" i="2"/>
  <c r="L36" i="2"/>
  <c r="L37" i="2"/>
  <c r="L38" i="2"/>
  <c r="L39" i="2"/>
  <c r="L46" i="2"/>
  <c r="L47" i="2"/>
  <c r="L48" i="2"/>
  <c r="L49" i="2"/>
  <c r="L50" i="2"/>
  <c r="L51" i="2"/>
  <c r="L60" i="2"/>
  <c r="L68" i="2"/>
  <c r="L69" i="2"/>
  <c r="L70" i="2"/>
  <c r="L71" i="2"/>
  <c r="L72" i="2"/>
  <c r="L73" i="2"/>
  <c r="L74" i="2"/>
  <c r="L75" i="2"/>
  <c r="L79" i="2"/>
  <c r="L80" i="2"/>
  <c r="L81" i="2"/>
  <c r="L82" i="2"/>
  <c r="L83" i="2"/>
  <c r="L84" i="2"/>
  <c r="L85" i="2"/>
  <c r="L86" i="2"/>
  <c r="L87" i="2"/>
  <c r="L97" i="2"/>
  <c r="L98" i="2"/>
  <c r="L99" i="2"/>
  <c r="L16" i="2"/>
  <c r="L19" i="2"/>
  <c r="L28" i="2"/>
  <c r="L31" i="2"/>
  <c r="L40" i="2"/>
  <c r="L43" i="2"/>
  <c r="L52" i="2"/>
  <c r="L55" i="2"/>
  <c r="L64" i="2"/>
  <c r="L67" i="2"/>
  <c r="L76" i="2"/>
  <c r="L88" i="2"/>
  <c r="L91" i="2"/>
  <c r="L100" i="2"/>
  <c r="L8" i="2"/>
  <c r="L9" i="2"/>
  <c r="L10" i="2"/>
  <c r="L11" i="2"/>
  <c r="L18" i="2"/>
  <c r="L20" i="2"/>
  <c r="L21" i="2"/>
  <c r="L22" i="2"/>
  <c r="L23" i="2"/>
  <c r="L24" i="2"/>
  <c r="L25" i="2"/>
  <c r="L26" i="2"/>
  <c r="L30" i="2"/>
  <c r="L41" i="2"/>
  <c r="L42" i="2"/>
  <c r="L45" i="2"/>
  <c r="L53" i="2"/>
  <c r="L54" i="2"/>
  <c r="L56" i="2"/>
  <c r="L61" i="2"/>
  <c r="L62" i="2"/>
  <c r="L63" i="2"/>
  <c r="L65" i="2"/>
  <c r="L66" i="2"/>
  <c r="L77" i="2"/>
  <c r="L78" i="2"/>
  <c r="L89" i="2"/>
  <c r="L90" i="2"/>
  <c r="L92" i="2"/>
  <c r="L93" i="2"/>
  <c r="L94" i="2"/>
  <c r="L95" i="2"/>
  <c r="L96" i="2"/>
  <c r="J4" i="2"/>
  <c r="K4" i="2" s="1"/>
  <c r="L4" i="2" s="1"/>
  <c r="J3" i="2"/>
  <c r="K3" i="2"/>
  <c r="L3" i="2" s="1"/>
  <c r="L17" i="2"/>
  <c r="L32" i="2"/>
  <c r="L44" i="2"/>
  <c r="L57" i="2"/>
  <c r="L58" i="2"/>
  <c r="L59" i="2"/>
  <c r="L29" i="2"/>
  <c r="J2" i="2"/>
  <c r="K2" i="2" s="1"/>
  <c r="L2" i="2" s="1"/>
  <c r="G16" i="5" l="1"/>
  <c r="J6" i="5"/>
  <c r="G17" i="5"/>
  <c r="J8" i="5"/>
  <c r="J7" i="5"/>
  <c r="G13" i="5"/>
  <c r="H9" i="5"/>
  <c r="I9" i="5"/>
  <c r="I10" i="5"/>
  <c r="I8" i="5"/>
  <c r="I7" i="5"/>
  <c r="I6" i="5"/>
  <c r="I5" i="5"/>
  <c r="I4" i="5"/>
  <c r="I3" i="5"/>
  <c r="B18" i="3"/>
</calcChain>
</file>

<file path=xl/sharedStrings.xml><?xml version="1.0" encoding="utf-8"?>
<sst xmlns="http://schemas.openxmlformats.org/spreadsheetml/2006/main" count="214" uniqueCount="123">
  <si>
    <t>MSN</t>
  </si>
  <si>
    <t>AD title</t>
  </si>
  <si>
    <t>interval days</t>
  </si>
  <si>
    <t>next due date</t>
  </si>
  <si>
    <t>risk flag</t>
  </si>
  <si>
    <t>AD_Number</t>
  </si>
  <si>
    <t>Applicability</t>
  </si>
  <si>
    <t>AD Type</t>
  </si>
  <si>
    <t>Due Date</t>
  </si>
  <si>
    <t>Last complied date</t>
  </si>
  <si>
    <t>AD status</t>
  </si>
  <si>
    <t>VT-ABC</t>
  </si>
  <si>
    <t>AD-2023-001</t>
  </si>
  <si>
    <t>one time</t>
  </si>
  <si>
    <t>VT-XYZ</t>
  </si>
  <si>
    <t>repetitive</t>
  </si>
  <si>
    <t>VT-DEF</t>
  </si>
  <si>
    <t>VT-FAE</t>
  </si>
  <si>
    <t>VT-UAE</t>
  </si>
  <si>
    <t>VT-GRE</t>
  </si>
  <si>
    <t>Column1</t>
  </si>
  <si>
    <t>APPLICABLE</t>
  </si>
  <si>
    <t>NOT APPLICABLE</t>
  </si>
  <si>
    <t>Aircraft</t>
  </si>
  <si>
    <t>FH</t>
  </si>
  <si>
    <t>FC</t>
  </si>
  <si>
    <t>daily FH</t>
  </si>
  <si>
    <t>daily FC</t>
  </si>
  <si>
    <t>FH/FC ratio</t>
  </si>
  <si>
    <t>utilization category</t>
  </si>
  <si>
    <t>VT-EXA</t>
  </si>
  <si>
    <t>VT-EXB</t>
  </si>
  <si>
    <t>VT-EXC</t>
  </si>
  <si>
    <t>VT-EXE</t>
  </si>
  <si>
    <t>VT-EXF</t>
  </si>
  <si>
    <t>VT-EXG</t>
  </si>
  <si>
    <t>VT-EXH</t>
  </si>
  <si>
    <t>VT-EXI</t>
  </si>
  <si>
    <t>VT-EXJ</t>
  </si>
  <si>
    <t>average daily FH</t>
  </si>
  <si>
    <t>average daily FC</t>
  </si>
  <si>
    <t>highest FH aircraft</t>
  </si>
  <si>
    <t>highest utilization</t>
  </si>
  <si>
    <t xml:space="preserve">Remaining FH to check </t>
  </si>
  <si>
    <t>highest Daily FH</t>
  </si>
  <si>
    <t>Higest FC</t>
  </si>
  <si>
    <t>lowest remaining FH to check</t>
  </si>
  <si>
    <t xml:space="preserve">check status </t>
  </si>
  <si>
    <t xml:space="preserve">estimated days remaining </t>
  </si>
  <si>
    <t>current FH</t>
  </si>
  <si>
    <t>check interval</t>
  </si>
  <si>
    <t>next due FH</t>
  </si>
  <si>
    <t>remaining FH</t>
  </si>
  <si>
    <t xml:space="preserve">daily FH </t>
  </si>
  <si>
    <t>forecast due date</t>
  </si>
  <si>
    <t>Estimated days left</t>
  </si>
  <si>
    <t>priority</t>
  </si>
  <si>
    <t>current FC</t>
  </si>
  <si>
    <t>check FC limit</t>
  </si>
  <si>
    <t>remaining FC</t>
  </si>
  <si>
    <t>Daily FC</t>
  </si>
  <si>
    <t>estimated FC days left</t>
  </si>
  <si>
    <t>Governing limit</t>
  </si>
  <si>
    <t>AIRCRAFT</t>
  </si>
  <si>
    <t>TYPE</t>
  </si>
  <si>
    <t>CURRENT FH</t>
  </si>
  <si>
    <t>CURRENT FC</t>
  </si>
  <si>
    <t>FC CHECK INTERVAL</t>
  </si>
  <si>
    <t>AVG DAILY FH</t>
  </si>
  <si>
    <t>AVG DAILY FC</t>
  </si>
  <si>
    <t>FH CHECK INTERVAL</t>
  </si>
  <si>
    <t>A320</t>
  </si>
  <si>
    <t>A320 NEO</t>
  </si>
  <si>
    <t>A320 XLR</t>
  </si>
  <si>
    <t>A350</t>
  </si>
  <si>
    <t>A320LR</t>
  </si>
  <si>
    <t>B737 MAX</t>
  </si>
  <si>
    <t>B737-NG</t>
  </si>
  <si>
    <t>B777-300ER</t>
  </si>
  <si>
    <t>aircraft</t>
  </si>
  <si>
    <t>COMPONENT</t>
  </si>
  <si>
    <t>LIMIT TYPE</t>
  </si>
  <si>
    <t>TOTAL LIMIT</t>
  </si>
  <si>
    <t>CURRENT USAGE</t>
  </si>
  <si>
    <t xml:space="preserve">REMAINING </t>
  </si>
  <si>
    <t>DAILY USAGE</t>
  </si>
  <si>
    <t>ESTIMATED DAYS LEFT</t>
  </si>
  <si>
    <t>STATUS</t>
  </si>
  <si>
    <t>BRAKES</t>
  </si>
  <si>
    <t>TYRES</t>
  </si>
  <si>
    <t>APU STATER</t>
  </si>
  <si>
    <t>CALENDER</t>
  </si>
  <si>
    <t>HYDRAULIC FILTER</t>
  </si>
  <si>
    <t>VT-EXD</t>
  </si>
  <si>
    <t>LANDING GEAR</t>
  </si>
  <si>
    <t>FUEL INJECTOR</t>
  </si>
  <si>
    <t>TURBINE BLADES</t>
  </si>
  <si>
    <t>INSTALLATION DATE</t>
  </si>
  <si>
    <t>EXPIRY DATE</t>
  </si>
  <si>
    <t>SERIAL NUMBER</t>
  </si>
  <si>
    <t>BRK-932</t>
  </si>
  <si>
    <t>TY-23</t>
  </si>
  <si>
    <t>API-123</t>
  </si>
  <si>
    <t>FI-675</t>
  </si>
  <si>
    <t>HF-432</t>
  </si>
  <si>
    <t>TB-324</t>
  </si>
  <si>
    <t>LG-065</t>
  </si>
  <si>
    <t>OG-933</t>
  </si>
  <si>
    <t>DAYS REMAINING</t>
  </si>
  <si>
    <t>WARNING THRESHOLD</t>
  </si>
  <si>
    <t>REPLACEMENT URGENCY</t>
  </si>
  <si>
    <t>calender status</t>
  </si>
  <si>
    <t xml:space="preserve">AIRCRAFT </t>
  </si>
  <si>
    <t xml:space="preserve">OXYGEN MASK </t>
  </si>
  <si>
    <t>Row Labels</t>
  </si>
  <si>
    <t>Grand Total</t>
  </si>
  <si>
    <t xml:space="preserve">Sum of REMAINING </t>
  </si>
  <si>
    <t>Sum of ESTIMATED DAYS LEFT</t>
  </si>
  <si>
    <t>Sum of daily FH</t>
  </si>
  <si>
    <t>AD-2023-050</t>
  </si>
  <si>
    <t>AD-2000-001</t>
  </si>
  <si>
    <t>AD-2046-001</t>
  </si>
  <si>
    <t>AIRCRAFT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</si>
</sst>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0" xfId="0" applyFill="1"/>
    <xf numFmtId="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6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rgb="FFFFC000"/>
      </font>
    </dxf>
    <dxf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theme="9"/>
      </font>
    </dxf>
    <dxf>
      <font>
        <color theme="1" tint="0.49998474074526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67567804024497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411734232732716E-2"/>
          <c:y val="0.16283086443300063"/>
          <c:w val="0.90303623791095111"/>
          <c:h val="0.720610878361442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'fleet utilization'!$D$1</c:f>
              <c:strCache>
                <c:ptCount val="1"/>
                <c:pt idx="0">
                  <c:v>daily FH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'fleet utilization'!$A$2:$A$10</c:f>
              <c:strCache>
                <c:ptCount val="9"/>
                <c:pt idx="0">
                  <c:v>VT-EXA</c:v>
                </c:pt>
                <c:pt idx="1">
                  <c:v>VT-EXB</c:v>
                </c:pt>
                <c:pt idx="2">
                  <c:v>VT-EXC</c:v>
                </c:pt>
                <c:pt idx="3">
                  <c:v>VT-EXE</c:v>
                </c:pt>
                <c:pt idx="4">
                  <c:v>VT-EXF</c:v>
                </c:pt>
                <c:pt idx="5">
                  <c:v>VT-EXG</c:v>
                </c:pt>
                <c:pt idx="6">
                  <c:v>VT-EXH</c:v>
                </c:pt>
                <c:pt idx="7">
                  <c:v>VT-EXI</c:v>
                </c:pt>
                <c:pt idx="8">
                  <c:v>VT-EXJ</c:v>
                </c:pt>
              </c:strCache>
            </c:strRef>
          </c:cat>
          <c:val>
            <c:numRef>
              <c:f>'fleet utilization'!$D$2:$D$10</c:f>
              <c:numCache>
                <c:formatCode>General</c:formatCode>
                <c:ptCount val="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2-4573-9771-1F1FD6C48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664015"/>
        <c:axId val="2093666895"/>
      </c:barChart>
      <c:catAx>
        <c:axId val="209366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666895"/>
        <c:crosses val="autoZero"/>
        <c:auto val="1"/>
        <c:lblAlgn val="ctr"/>
        <c:lblOffset val="100"/>
        <c:noMultiLvlLbl val="0"/>
      </c:catAx>
      <c:valAx>
        <c:axId val="209366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66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'fleet utilization'!$H$1</c:f>
              <c:strCache>
                <c:ptCount val="1"/>
                <c:pt idx="0">
                  <c:v>Remaining FH to check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'fleet utilization'!$A$1:$A$10</c:f>
              <c:strCache>
                <c:ptCount val="10"/>
                <c:pt idx="0">
                  <c:v>Aircraft</c:v>
                </c:pt>
                <c:pt idx="1">
                  <c:v>VT-EXA</c:v>
                </c:pt>
                <c:pt idx="2">
                  <c:v>VT-EXB</c:v>
                </c:pt>
                <c:pt idx="3">
                  <c:v>VT-EXC</c:v>
                </c:pt>
                <c:pt idx="4">
                  <c:v>VT-EXE</c:v>
                </c:pt>
                <c:pt idx="5">
                  <c:v>VT-EXF</c:v>
                </c:pt>
                <c:pt idx="6">
                  <c:v>VT-EXG</c:v>
                </c:pt>
                <c:pt idx="7">
                  <c:v>VT-EXH</c:v>
                </c:pt>
                <c:pt idx="8">
                  <c:v>VT-EXI</c:v>
                </c:pt>
                <c:pt idx="9">
                  <c:v>VT-EXJ</c:v>
                </c:pt>
              </c:strCache>
            </c:strRef>
          </c:cat>
          <c:val>
            <c:numRef>
              <c:f>'fleet utilization'!$H$2:$H$10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380</c:v>
                </c:pt>
                <c:pt idx="3">
                  <c:v>500</c:v>
                </c:pt>
                <c:pt idx="4">
                  <c:v>500</c:v>
                </c:pt>
                <c:pt idx="5">
                  <c:v>57</c:v>
                </c:pt>
                <c:pt idx="6">
                  <c:v>106</c:v>
                </c:pt>
                <c:pt idx="7">
                  <c:v>474</c:v>
                </c:pt>
                <c:pt idx="8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C-4C11-827C-73414CC01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336975"/>
        <c:axId val="2002331215"/>
      </c:barChart>
      <c:catAx>
        <c:axId val="200233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31215"/>
        <c:crosses val="autoZero"/>
        <c:auto val="1"/>
        <c:lblAlgn val="ctr"/>
        <c:lblOffset val="100"/>
        <c:noMultiLvlLbl val="0"/>
      </c:catAx>
      <c:valAx>
        <c:axId val="200233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3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47880</xdr:colOff>
      <xdr:row>9</xdr:row>
      <xdr:rowOff>194833</xdr:rowOff>
    </xdr:from>
    <xdr:to>
      <xdr:col>13</xdr:col>
      <xdr:colOff>144730</xdr:colOff>
      <xdr:row>23</xdr:row>
      <xdr:rowOff>155076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43EC7-98B1-D240-9BBC-E770EDF85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121585</xdr:colOff>
      <xdr:row>10</xdr:row>
      <xdr:rowOff>36443</xdr:rowOff>
    </xdr:from>
    <xdr:to>
      <xdr:col>8</xdr:col>
      <xdr:colOff>15567</xdr:colOff>
      <xdr:row>23</xdr:row>
      <xdr:rowOff>195469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9AA635-22B9-5536-DC10-E18AACA01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faraz" refreshedDate="46153.417024537041" createdVersion="8" refreshedVersion="8" minRefreshableVersion="3" recordCount="7" xr:uid="{D4CB164E-8FCE-44EE-8C52-FC8A777AC887}">
  <cacheSource type="worksheet">
    <worksheetSource name="Table7"/>
  </cacheSource>
  <cacheFields count="12">
    <cacheField name="AIRCRAFT " numFmtId="0">
      <sharedItems count="4">
        <s v="VT-EXA"/>
        <s v="VT-EXB"/>
        <s v="VT-EXC"/>
        <s v="VT-EXD"/>
      </sharedItems>
    </cacheField>
    <cacheField name="COMPONENT" numFmtId="0">
      <sharedItems count="7">
        <s v="BRAKES"/>
        <s v="TYRES"/>
        <s v="APU STATER"/>
        <s v="FUEL INJECTOR"/>
        <s v="HYDRAULIC FILTER"/>
        <s v="TURBINE BLADES"/>
        <s v="LANDING GEAR"/>
      </sharedItems>
    </cacheField>
    <cacheField name="SERIAL NUMBER" numFmtId="0">
      <sharedItems/>
    </cacheField>
    <cacheField name="LIMIT TYPE" numFmtId="0">
      <sharedItems count="2">
        <s v="FC"/>
        <s v="FH"/>
      </sharedItems>
    </cacheField>
    <cacheField name="TOTAL LIMIT" numFmtId="0">
      <sharedItems containsSemiMixedTypes="0" containsString="0" containsNumber="1" containsInteger="1" minValue="500" maxValue="10000"/>
    </cacheField>
    <cacheField name="CURRENT USAGE" numFmtId="0">
      <sharedItems containsSemiMixedTypes="0" containsString="0" containsNumber="1" containsInteger="1" minValue="450" maxValue="9500"/>
    </cacheField>
    <cacheField name="REMAINING " numFmtId="0">
      <sharedItems containsSemiMixedTypes="0" containsString="0" containsNumber="1" containsInteger="1" minValue="10" maxValue="4045"/>
    </cacheField>
    <cacheField name="DAILY USAGE" numFmtId="0">
      <sharedItems containsSemiMixedTypes="0" containsString="0" containsNumber="1" containsInteger="1" minValue="3" maxValue="8"/>
    </cacheField>
    <cacheField name="ESTIMATED DAYS LEFT" numFmtId="0">
      <sharedItems containsSemiMixedTypes="0" containsString="0" containsNumber="1" containsInteger="1" minValue="2" maxValue="809"/>
    </cacheField>
    <cacheField name="STATUS" numFmtId="0">
      <sharedItems count="3">
        <s v="NORMAL"/>
        <s v="PLAN"/>
        <s v="CRITICAL"/>
      </sharedItems>
    </cacheField>
    <cacheField name="WARNING THRESHOLD" numFmtId="0">
      <sharedItems containsSemiMixedTypes="0" containsString="0" containsNumber="1" containsInteger="1" minValue="30" maxValue="500"/>
    </cacheField>
    <cacheField name="REPLACEMENT URGENCY" numFmtId="0">
      <sharedItems count="3">
        <s v="normal"/>
        <s v="plan replacement"/>
        <s v="REPLACE URGENT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faraz" refreshedDate="46153.429053703701" createdVersion="8" refreshedVersion="8" minRefreshableVersion="3" recordCount="9" xr:uid="{ED494D38-0719-4899-97C3-662BBB3E64C6}">
  <cacheSource type="worksheet">
    <worksheetSource name="Table2"/>
  </cacheSource>
  <cacheFields count="10">
    <cacheField name="Aircraft" numFmtId="0">
      <sharedItems count="9">
        <s v="VT-EXA"/>
        <s v="VT-EXB"/>
        <s v="VT-EXC"/>
        <s v="VT-EXE"/>
        <s v="VT-EXF"/>
        <s v="VT-EXG"/>
        <s v="VT-EXH"/>
        <s v="VT-EXI"/>
        <s v="VT-EXJ"/>
      </sharedItems>
    </cacheField>
    <cacheField name="FH" numFmtId="0">
      <sharedItems containsSemiMixedTypes="0" containsString="0" containsNumber="1" containsInteger="1" minValue="21943" maxValue="45673"/>
    </cacheField>
    <cacheField name="FC" numFmtId="0">
      <sharedItems containsSemiMixedTypes="0" containsString="0" containsNumber="1" containsInteger="1" minValue="10234" maxValue="45232"/>
    </cacheField>
    <cacheField name="daily FH" numFmtId="0">
      <sharedItems containsSemiMixedTypes="0" containsString="0" containsNumber="1" containsInteger="1" minValue="7" maxValue="14"/>
    </cacheField>
    <cacheField name="daily FC" numFmtId="0">
      <sharedItems containsSemiMixedTypes="0" containsString="0" containsNumber="1" containsInteger="1" minValue="3" maxValue="8"/>
    </cacheField>
    <cacheField name="FH/FC ratio" numFmtId="0">
      <sharedItems containsSemiMixedTypes="0" containsString="0" containsNumber="1" minValue="0.50522656106096886" maxValue="4.4628688684776234"/>
    </cacheField>
    <cacheField name="utilization category" numFmtId="0">
      <sharedItems/>
    </cacheField>
    <cacheField name="Remaining FH to check " numFmtId="0">
      <sharedItems containsSemiMixedTypes="0" containsString="0" containsNumber="1" containsInteger="1" minValue="50" maxValue="500"/>
    </cacheField>
    <cacheField name="check status " numFmtId="0">
      <sharedItems/>
    </cacheField>
    <cacheField name="estimated days remaining " numFmtId="0">
      <sharedItems containsSemiMixedTypes="0" containsString="0" containsNumber="1" containsInteger="1" minValue="5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s v="BRK-932"/>
    <x v="0"/>
    <n v="3000"/>
    <n v="2700"/>
    <n v="300"/>
    <n v="4"/>
    <n v="75"/>
    <x v="0"/>
    <n v="100"/>
    <x v="0"/>
  </r>
  <r>
    <x v="0"/>
    <x v="1"/>
    <s v="TY-23"/>
    <x v="0"/>
    <n v="500"/>
    <n v="450"/>
    <n v="50"/>
    <n v="4"/>
    <n v="13"/>
    <x v="1"/>
    <n v="30"/>
    <x v="0"/>
  </r>
  <r>
    <x v="1"/>
    <x v="2"/>
    <s v="API-123"/>
    <x v="1"/>
    <n v="5400"/>
    <n v="5200"/>
    <n v="200"/>
    <n v="8"/>
    <n v="25"/>
    <x v="1"/>
    <n v="170"/>
    <x v="1"/>
  </r>
  <r>
    <x v="1"/>
    <x v="3"/>
    <s v="FI-675"/>
    <x v="1"/>
    <n v="2000"/>
    <n v="1450"/>
    <n v="550"/>
    <n v="8"/>
    <n v="69"/>
    <x v="0"/>
    <n v="200"/>
    <x v="0"/>
  </r>
  <r>
    <x v="2"/>
    <x v="4"/>
    <s v="HF-432"/>
    <x v="1"/>
    <n v="7500"/>
    <n v="3455"/>
    <n v="4045"/>
    <n v="5"/>
    <n v="809"/>
    <x v="0"/>
    <n v="350"/>
    <x v="0"/>
  </r>
  <r>
    <x v="2"/>
    <x v="5"/>
    <s v="TB-324"/>
    <x v="0"/>
    <n v="8500"/>
    <n v="8490"/>
    <n v="10"/>
    <n v="5"/>
    <n v="2"/>
    <x v="2"/>
    <n v="200"/>
    <x v="2"/>
  </r>
  <r>
    <x v="3"/>
    <x v="6"/>
    <s v="LG-065"/>
    <x v="0"/>
    <n v="10000"/>
    <n v="9500"/>
    <n v="500"/>
    <n v="3"/>
    <n v="167"/>
    <x v="0"/>
    <n v="50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32450"/>
    <n v="18420"/>
    <n v="7"/>
    <n v="3"/>
    <n v="1.7616720955483169"/>
    <s v="LOW"/>
    <n v="50"/>
    <s v="urgent"/>
    <n v="7"/>
  </r>
  <r>
    <x v="1"/>
    <n v="28900"/>
    <n v="16200"/>
    <n v="8"/>
    <n v="4"/>
    <n v="1.7839506172839505"/>
    <s v="MEDIUM"/>
    <n v="100"/>
    <s v="due soon"/>
    <n v="13"/>
  </r>
  <r>
    <x v="2"/>
    <n v="40120"/>
    <n v="12345"/>
    <n v="9"/>
    <n v="5"/>
    <n v="3.2498987444309435"/>
    <s v="MEDIUM"/>
    <n v="380"/>
    <s v="normal"/>
    <n v="42"/>
  </r>
  <r>
    <x v="3"/>
    <n v="25000"/>
    <n v="37521"/>
    <n v="10"/>
    <n v="6"/>
    <n v="0.6662935422829882"/>
    <s v="HIGH"/>
    <n v="500"/>
    <s v="normal"/>
    <n v="50"/>
  </r>
  <r>
    <x v="4"/>
    <n v="26000"/>
    <n v="21020"/>
    <n v="11"/>
    <n v="7"/>
    <n v="1.2369172216936251"/>
    <s v="HIGH"/>
    <n v="500"/>
    <s v="normal"/>
    <n v="45"/>
  </r>
  <r>
    <x v="5"/>
    <n v="21943"/>
    <n v="43432"/>
    <n v="12"/>
    <n v="8"/>
    <n v="0.50522656106096886"/>
    <s v="HIGH"/>
    <n v="57"/>
    <s v="due soon"/>
    <n v="5"/>
  </r>
  <r>
    <x v="6"/>
    <n v="37894"/>
    <n v="45232"/>
    <n v="13"/>
    <n v="4"/>
    <n v="0.83776972055182175"/>
    <s v="VERY HIGH"/>
    <n v="106"/>
    <s v="due soon"/>
    <n v="8"/>
  </r>
  <r>
    <x v="7"/>
    <n v="34526"/>
    <n v="14634"/>
    <n v="14"/>
    <n v="6"/>
    <n v="2.3593002596692632"/>
    <s v="VERY HIGH"/>
    <n v="474"/>
    <s v="normal"/>
    <n v="34"/>
  </r>
  <r>
    <x v="8"/>
    <n v="45673"/>
    <n v="10234"/>
    <n v="12"/>
    <n v="5"/>
    <n v="4.4628688684776234"/>
    <s v="HIGH"/>
    <n v="327"/>
    <s v="normal"/>
    <n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639AD-2181-41F3-978C-4C67CA67CD8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0">
    <pivotField axis="axisRow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 v="7"/>
    </i>
    <i>
      <x v="6"/>
    </i>
    <i>
      <x v="8"/>
    </i>
    <i>
      <x v="5"/>
    </i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Sum of daily FH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2AACF-01E9-4A6F-8049-0EA45262A2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2">
    <pivotField showAll="0">
      <items count="5">
        <item x="0"/>
        <item x="1"/>
        <item x="2"/>
        <item x="3"/>
        <item t="default"/>
      </items>
    </pivotField>
    <pivotField axis="axisRow" showAll="0">
      <items count="8">
        <item x="2"/>
        <item x="0"/>
        <item x="3"/>
        <item x="4"/>
        <item x="6"/>
        <item x="5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dataField="1" showAll="0"/>
    <pivotField showAll="0">
      <items count="4">
        <item x="2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MAINING " fld="6" baseField="0" baseItem="0"/>
    <dataField name="Sum of ESTIMATED DAYS LEF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157E05-7B39-41C8-A4F8-5994B5F72E93}" name="Table1" displayName="Table1" ref="A1:M100" totalsRowShown="0">
  <autoFilter ref="A1:M100" xr:uid="{90157E05-7B39-41C8-A4F8-5994B5F72E93}"/>
  <tableColumns count="13">
    <tableColumn id="1" xr3:uid="{37C19553-77EE-42AA-BC55-A11DE5D5BB84}" name="AIRCRAFT REGISTRATION"/>
    <tableColumn id="2" xr3:uid="{BAA22C51-BA67-4E5A-BCA2-9DF2A84F2092}" name="MSN"/>
    <tableColumn id="3" xr3:uid="{E36BE5A4-3B70-4BA0-9109-0C2E3E8C400A}" name="AD_Number"/>
    <tableColumn id="4" xr3:uid="{2CD096B3-05E8-4819-8C23-7C496BBEFC4A}" name="AD title"/>
    <tableColumn id="5" xr3:uid="{8BF89275-5852-413E-B56F-440F5D471E48}" name="Applicability"/>
    <tableColumn id="6" xr3:uid="{ADF8F2A9-64EC-4120-A981-8758EBE78910}" name="AD Type"/>
    <tableColumn id="7" xr3:uid="{99EEFEF6-90EC-4FD0-937E-96F32BF7F4F9}" name="Due Date"/>
    <tableColumn id="8" xr3:uid="{3F07F5C6-E7B0-4E20-9C78-E02FF9E11B33}" name="Last complied date"/>
    <tableColumn id="9" xr3:uid="{537FAF8B-4906-4953-A3B8-2EA910AFCC50}" name="interval days"/>
    <tableColumn id="10" xr3:uid="{0BC18CF1-6919-4D5D-B0BF-8476B2537ADA}" name="next due date"/>
    <tableColumn id="11" xr3:uid="{AAA658D7-E69C-428E-8A58-10AC1399A9B6}" name="AD status"/>
    <tableColumn id="12" xr3:uid="{11D4BD0A-A862-405C-B403-8F81ED43BDBA}" name="risk flag" dataDxfId="57">
      <calculatedColumnFormula>IF(K2="OVERDUE","RED",IF(K2="DUE SOON","AMBER",IF(K2="COMPLIANT","GREEN","")))</calculatedColumnFormula>
    </tableColumn>
    <tableColumn id="13" xr3:uid="{3BB28627-E84B-4BBA-BD9C-834194701863}" name="Column1" dataDxfId="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3B7C11-4464-4033-AC07-14349ED1330F}" name="Table2" displayName="Table2" ref="A1:J10" totalsRowShown="0">
  <autoFilter ref="A1:J10" xr:uid="{DF3B7C11-4464-4033-AC07-14349ED1330F}"/>
  <tableColumns count="10">
    <tableColumn id="1" xr3:uid="{24B75B28-EFB0-4279-A72B-E1D12DD6FE1D}" name="Aircraft"/>
    <tableColumn id="2" xr3:uid="{42C020E7-93FD-4AF6-984B-413149F3ADFB}" name="FH"/>
    <tableColumn id="3" xr3:uid="{5584323D-B145-49D1-9986-0F0F429B0E3B}" name="FC"/>
    <tableColumn id="4" xr3:uid="{5E7EBA09-53F1-49B0-B556-CD9633FCDCC5}" name="daily FH"/>
    <tableColumn id="5" xr3:uid="{5C46F34B-2C1F-487F-AAC1-D241D65FB93D}" name="daily FC"/>
    <tableColumn id="6" xr3:uid="{43415243-E2BE-489A-A1B5-79494946EC07}" name="FH/FC ratio">
      <calculatedColumnFormula>B2/C2</calculatedColumnFormula>
    </tableColumn>
    <tableColumn id="7" xr3:uid="{E452C59E-785A-44F8-A68D-76AF5BF71C8A}" name="utilization category" dataDxfId="55">
      <calculatedColumnFormula>IF(D2&gt;12,"VERY HIGH",IF(D2&gt;9,"HIGH",IF(Table2[[#This Row],[daily FH]]&gt;=8,"MEDIUM","LOW")))</calculatedColumnFormula>
    </tableColumn>
    <tableColumn id="8" xr3:uid="{F6AD8F80-5755-4317-866F-65F85DD9C454}" name="Remaining FH to check " dataDxfId="54">
      <calculatedColumnFormula>500-MOD(Table2[[#This Row],[FH]],500)</calculatedColumnFormula>
    </tableColumn>
    <tableColumn id="9" xr3:uid="{F59FB120-71DD-4386-B013-9720DC42741E}" name="check status " dataDxfId="53">
      <calculatedColumnFormula>IF(Table2[[#This Row],[Remaining FH to check ]]&lt;=50,"urgent",IF(Table2[[#This Row],[Remaining FH to check ]]&lt;150,"due soon","normal"))</calculatedColumnFormula>
    </tableColumn>
    <tableColumn id="10" xr3:uid="{AE8ABB42-F8D6-40C7-BDAA-287B9F6A3118}" name="estimated days remaining " dataDxfId="52">
      <calculatedColumnFormula>ROUND(Table2[[#This Row],[Remaining FH to check ]]/Table2[[#This Row],[daily FH]],0)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0706DC-2AD4-4396-BE47-2B895D89F298}" name="Table3" displayName="Table3" ref="A1:J10" totalsRowShown="0">
  <autoFilter ref="A1:J10" xr:uid="{2E0706DC-2AD4-4396-BE47-2B895D89F298}"/>
  <tableColumns count="10">
    <tableColumn id="1" xr3:uid="{E0C82546-CC32-42F4-934F-45E2E0E1D411}" name="Aircraft" dataDxfId="51"/>
    <tableColumn id="2" xr3:uid="{35466A73-FD30-4ADC-A84F-1F21472C5F74}" name="current FH"/>
    <tableColumn id="3" xr3:uid="{A1D9A33F-4FA6-42C0-97C9-09E5DC01DECC}" name="check interval"/>
    <tableColumn id="4" xr3:uid="{09E2DFCE-1C8B-4EF7-AC11-8E5ED6140DBC}" name="next due FH">
      <calculatedColumnFormula>CEILING(B2,C2)</calculatedColumnFormula>
    </tableColumn>
    <tableColumn id="5" xr3:uid="{16DC0125-E6BB-4E36-82A6-276DC2EDD780}" name="remaining FH">
      <calculatedColumnFormula>D2-B2</calculatedColumnFormula>
    </tableColumn>
    <tableColumn id="6" xr3:uid="{67BBC07F-1706-4B81-BBA9-BE55611F18FB}" name="daily FH "/>
    <tableColumn id="7" xr3:uid="{91D0ACBC-9CA9-4DEA-BBDF-BDE5BF5B6043}" name="Estimated days left" dataDxfId="50">
      <calculatedColumnFormula>ROUND(E2/F2,0)</calculatedColumnFormula>
    </tableColumn>
    <tableColumn id="8" xr3:uid="{4718472B-4390-4987-A82B-A14966B3C06D}" name="forecast due date" dataDxfId="49">
      <calculatedColumnFormula>TODAY()+ROUND(G2,0)</calculatedColumnFormula>
    </tableColumn>
    <tableColumn id="9" xr3:uid="{B8B32E1C-F2BE-4AA6-B54F-A0BD5A959769}" name="priority" dataDxfId="48">
      <calculatedColumnFormula>IF(Table3[[#This Row],[Estimated days left]]&lt;=3,"AOG RISK",IF(Table3[[#This Row],[Estimated days left]]&lt;=10,"urgent",IF(Table3[[#This Row],[Estimated days left]]&lt;=30,"plan","normal")))</calculatedColumnFormula>
    </tableColumn>
    <tableColumn id="10" xr3:uid="{37772F4E-0633-4731-8D66-EBD1C5B12183}" name="Governing limit" dataDxfId="47">
      <calculatedColumnFormula>IF(G2&lt;F13,"FH limit","FC limit")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A1D4A7-B8D8-4B2B-971D-ABAB10C92141}" name="Table4" displayName="Table4" ref="A12:G21" totalsRowShown="0" headerRowDxfId="46" headerRowBorderDxfId="45" tableBorderDxfId="44">
  <autoFilter ref="A12:G21" xr:uid="{54A1D4A7-B8D8-4B2B-971D-ABAB10C92141}"/>
  <tableColumns count="7">
    <tableColumn id="1" xr3:uid="{E545B9E9-4411-4A47-BEC9-2F4005710C79}" name="Aircraft" dataDxfId="43"/>
    <tableColumn id="2" xr3:uid="{DB7C4E05-6AA5-4D81-BACD-2674A6E7D4FD}" name="current FC"/>
    <tableColumn id="3" xr3:uid="{52E33A1D-5AEA-4454-B727-9BB55EB09E97}" name="check FC limit"/>
    <tableColumn id="4" xr3:uid="{5F413978-3925-4F43-9070-0A3309D3AC6F}" name="remaining FC" dataDxfId="42">
      <calculatedColumnFormula>Table4[[#This Row],[check FC limit]]-Table4[[#This Row],[current FC]]</calculatedColumnFormula>
    </tableColumn>
    <tableColumn id="5" xr3:uid="{6A6C3CF0-7496-468C-BB89-B1D96822261F}" name="Daily FC"/>
    <tableColumn id="6" xr3:uid="{8E388006-3DB8-4926-A30D-1AD1A894F663}" name="estimated FC days left" dataDxfId="41">
      <calculatedColumnFormula>ROUND(Table4[[#This Row],[remaining FC]]/Table4[[#This Row],[Daily FC]],0)</calculatedColumnFormula>
    </tableColumn>
    <tableColumn id="7" xr3:uid="{DBDC6360-5D04-40C3-B317-4F6543C5DAA4}" name="priority" dataDxfId="40">
      <calculatedColumnFormula>IF(Table4[[#This Row],[estimated FC days left]]&lt;=10,"urgent",IF(Table4[[#This Row],[estimated FC days left]]&lt;=30,"plan","normal"))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791483-64DB-4041-911B-5CC0067D45E5}" name="tblAircraft" displayName="tblAircraft" ref="A1:H10" totalsRowShown="0">
  <autoFilter ref="A1:H10" xr:uid="{98791483-64DB-4041-911B-5CC0067D45E5}"/>
  <tableColumns count="8">
    <tableColumn id="1" xr3:uid="{1F5552B3-4C92-4724-85E9-250F9CB5C04D}" name="AIRCRAFT" dataDxfId="63"/>
    <tableColumn id="2" xr3:uid="{05186478-2BDA-43F4-9ED5-8DC22899C0DA}" name="TYPE"/>
    <tableColumn id="3" xr3:uid="{3AEB34FA-1C93-4080-BCDC-C310BCB47DEF}" name="CURRENT FH" dataDxfId="62"/>
    <tableColumn id="4" xr3:uid="{CEA10706-D6B6-4E2B-9A34-1F7FBBCFC2A9}" name="CURRENT FC" dataDxfId="61"/>
    <tableColumn id="5" xr3:uid="{3E89BF7B-0180-45A7-8622-9C339774489C}" name="AVG DAILY FH"/>
    <tableColumn id="6" xr3:uid="{1ACE4C0F-29C6-46CD-ABD6-F918DFA46A97}" name="AVG DAILY FC" dataDxfId="60"/>
    <tableColumn id="7" xr3:uid="{A99F0534-9780-4901-A50A-A5AFCB11A068}" name="FH CHECK INTERVAL" dataDxfId="59"/>
    <tableColumn id="8" xr3:uid="{250CF16F-9B97-4814-949B-A979F5A4C59E}" name="FC CHECK INTERVAL" dataDxfId="5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22F568-9E3B-4976-83ED-21D443F79F2D}" name="Table6" displayName="Table6" ref="A1:F10" totalsRowShown="0">
  <autoFilter ref="A1:F10" xr:uid="{D522F568-9E3B-4976-83ED-21D443F79F2D}"/>
  <tableColumns count="6">
    <tableColumn id="1" xr3:uid="{D7FD9C18-0C72-4FCB-B426-7FE5C68AE987}" name="aircraft" dataDxfId="39"/>
    <tableColumn id="2" xr3:uid="{75B29D04-D7E8-4CAF-AE68-1048884B4653}" name="current FH">
      <calculatedColumnFormula>_xlfn.XLOOKUP(A2,tblAircraft[AIRCRAFT],tblAircraft[CURRENT FH])</calculatedColumnFormula>
    </tableColumn>
    <tableColumn id="3" xr3:uid="{CD7F5F73-5888-4080-84C8-5AB95D93157A}" name="current FC">
      <calculatedColumnFormula>_xlfn.XLOOKUP(A2,tblAircraft[AIRCRAFT],tblAircraft[CURRENT FC])</calculatedColumnFormula>
    </tableColumn>
    <tableColumn id="4" xr3:uid="{5617CE69-FFE5-4CBE-A8BA-4F08333E3233}" name="daily FH ">
      <calculatedColumnFormula>_xlfn.XLOOKUP(A2,tblAircraft[AIRCRAFT],tblAircraft[AVG DAILY FH])</calculatedColumnFormula>
    </tableColumn>
    <tableColumn id="5" xr3:uid="{5425C764-BBB0-46B9-936C-5E452724A826}" name="daily FC">
      <calculatedColumnFormula>_xlfn.XLOOKUP(A2,tblAircraft[AIRCRAFT],tblAircraft[AVG DAILY FC])</calculatedColumnFormula>
    </tableColumn>
    <tableColumn id="6" xr3:uid="{87C0F6A8-8D4A-481D-BE42-6520674A20C7}" name="FH CHECK INTERVAL" dataDxfId="38">
      <calculatedColumnFormula>_xlfn.XLOOKUP(A2,tblAircraft[AIRCRAFT],tblAircraft[FH CHECK INTERVAL])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FF92DA-0BE1-49C1-8F62-7265660AC165}" name="Table7" displayName="Table7" ref="A1:L8" totalsRowShown="0">
  <autoFilter ref="A1:L8" xr:uid="{D3FF92DA-0BE1-49C1-8F62-7265660AC165}"/>
  <tableColumns count="12">
    <tableColumn id="1" xr3:uid="{2B850A76-2D5F-4289-868F-62BE27B16B89}" name="AIRCRAFT "/>
    <tableColumn id="2" xr3:uid="{E3CEDD4C-BBCB-4D46-804B-8E6DBDFC824B}" name="COMPONENT"/>
    <tableColumn id="11" xr3:uid="{83DF74F3-975E-42B9-B90C-5B883FB9C7E0}" name="SERIAL NUMBER"/>
    <tableColumn id="3" xr3:uid="{68E76AAA-1671-4760-80B9-06615670F6C8}" name="LIMIT TYPE"/>
    <tableColumn id="4" xr3:uid="{2F671EE2-C0FF-4095-B078-0081BB2DCBCD}" name="TOTAL LIMIT"/>
    <tableColumn id="5" xr3:uid="{8CCEB5F6-2F51-498E-BCCA-E4E67E1DC368}" name="CURRENT USAGE"/>
    <tableColumn id="6" xr3:uid="{9EFF6839-AAF0-4FC1-B7B0-138B24D66D4A}" name="REMAINING ">
      <calculatedColumnFormula>E2-F2</calculatedColumnFormula>
    </tableColumn>
    <tableColumn id="7" xr3:uid="{0644BD72-085B-4E33-9F0C-92E1BEE985EA}" name="DAILY USAGE"/>
    <tableColumn id="8" xr3:uid="{D797C8F4-5167-4C7C-8F13-9688FD76B442}" name="ESTIMATED DAYS LEFT">
      <calculatedColumnFormula>ROUND(G2/H2,0)</calculatedColumnFormula>
    </tableColumn>
    <tableColumn id="9" xr3:uid="{E243C737-261B-45CC-BF2B-5545C3D6659C}" name="STATUS">
      <calculatedColumnFormula>IF(I2&lt;12,"CRITICAL",IF(I2&lt;=45,"PLAN","NORMAL"))</calculatedColumnFormula>
    </tableColumn>
    <tableColumn id="12" xr3:uid="{856F8A97-A49F-4D88-B8EF-16A823DA4FEE}" name="WARNING THRESHOLD"/>
    <tableColumn id="13" xr3:uid="{C0A65346-B226-4033-B5EB-9357DF3165ED}" name="REPLACEMENT URGENCY" dataDxfId="37">
      <calculatedColumnFormula>IF(Table7[[#This Row],[REMAINING ]]&lt;=Table7[[#This Row],[WARNING THRESHOLD]],"REPLACE URGENTLY",IF(Table7[[#This Row],[REMAINING ]]&lt;=Table7[[#This Row],[WARNING THRESHOLD]]*1.5,"plan replacement","normal"))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65954A1-9F85-478B-A8DF-677649CF0CD5}" name="Table8" displayName="Table8" ref="A10:H11" totalsRowShown="0">
  <autoFilter ref="A10:H11" xr:uid="{665954A1-9F85-478B-A8DF-677649CF0CD5}"/>
  <tableColumns count="8">
    <tableColumn id="1" xr3:uid="{FDF8BE07-2377-49EC-9715-2D91C92B0A65}" name="AIRCRAFT"/>
    <tableColumn id="2" xr3:uid="{993B31DF-6740-4E7D-9EEF-888EF0C90133}" name="COMPONENT"/>
    <tableColumn id="3" xr3:uid="{B54D476D-2E70-4CC1-AFD0-2E3AD901A648}" name="SERIAL NUMBER"/>
    <tableColumn id="4" xr3:uid="{8AC7068B-068E-49D2-B773-B6B6675F647E}" name="LIMIT TYPE"/>
    <tableColumn id="5" xr3:uid="{FD738FE0-2167-4426-9169-7ABF669C7405}" name="INSTALLATION DATE" dataDxfId="36"/>
    <tableColumn id="6" xr3:uid="{1DCEBEDF-CDCD-4FC1-8091-2464186F5F4B}" name="EXPIRY DATE" dataDxfId="35"/>
    <tableColumn id="7" xr3:uid="{82F0B493-35C9-48F9-8373-0052292EDB47}" name="DAYS REMAINING" dataDxfId="34" dataCellStyle="Percent">
      <calculatedColumnFormula>F11-TODAY()</calculatedColumnFormula>
    </tableColumn>
    <tableColumn id="8" xr3:uid="{6A40E6DE-C173-4FCA-A460-F1D54C63DF91}" name="calender status">
      <calculatedColumnFormula>IF(Table8[[#This Row],[DAYS REMAINING]]&lt;=7,"CRITICAL",IF(Table8[[#This Row],[DAYS REMAINING]]&lt;=30,"plan","normal"))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0F92-1A2C-4BBA-9D2D-294DE038C9DE}">
  <dimension ref="A1:M100"/>
  <sheetViews>
    <sheetView topLeftCell="B1" zoomScale="89" zoomScaleNormal="89" workbookViewId="0">
      <pane ySplit="1" topLeftCell="A2" activePane="bottomLeft" state="frozen"/>
      <selection pane="bottomLeft" activeCell="J2" sqref="J2"/>
    </sheetView>
  </sheetViews>
  <sheetFormatPr defaultRowHeight="15.6" x14ac:dyDescent="0.3"/>
  <cols>
    <col min="1" max="1" width="22.59765625" customWidth="1"/>
    <col min="2" max="2" width="19.09765625" customWidth="1"/>
    <col min="3" max="3" width="13.796875" bestFit="1" customWidth="1"/>
    <col min="4" max="4" width="12.19921875" customWidth="1"/>
    <col min="5" max="5" width="17.69921875" customWidth="1"/>
    <col min="6" max="6" width="23.09765625" customWidth="1"/>
    <col min="7" max="7" width="14.19921875" customWidth="1"/>
    <col min="8" max="8" width="18.59765625" customWidth="1"/>
    <col min="9" max="9" width="19.796875" customWidth="1"/>
    <col min="10" max="10" width="18.5" customWidth="1"/>
    <col min="11" max="11" width="24.3984375" customWidth="1"/>
    <col min="12" max="12" width="14.8984375" customWidth="1"/>
    <col min="13" max="13" width="16" customWidth="1"/>
  </cols>
  <sheetData>
    <row r="1" spans="1:13" x14ac:dyDescent="0.3">
      <c r="A1" t="s">
        <v>122</v>
      </c>
      <c r="B1" t="s">
        <v>0</v>
      </c>
      <c r="C1" t="s">
        <v>5</v>
      </c>
      <c r="D1" t="s">
        <v>1</v>
      </c>
      <c r="E1" t="s">
        <v>6</v>
      </c>
      <c r="F1" t="s">
        <v>7</v>
      </c>
      <c r="G1" t="s">
        <v>8</v>
      </c>
      <c r="H1" t="s">
        <v>9</v>
      </c>
      <c r="I1" t="s">
        <v>2</v>
      </c>
      <c r="J1" t="s">
        <v>3</v>
      </c>
      <c r="K1" t="s">
        <v>10</v>
      </c>
      <c r="L1" t="s">
        <v>4</v>
      </c>
      <c r="M1" t="s">
        <v>20</v>
      </c>
    </row>
    <row r="2" spans="1:13" x14ac:dyDescent="0.3">
      <c r="A2" t="s">
        <v>11</v>
      </c>
      <c r="B2">
        <v>1001</v>
      </c>
      <c r="C2" t="s">
        <v>12</v>
      </c>
      <c r="E2" t="s">
        <v>21</v>
      </c>
      <c r="F2" t="s">
        <v>15</v>
      </c>
      <c r="G2" s="1">
        <v>46051</v>
      </c>
      <c r="H2" s="1">
        <v>46042</v>
      </c>
      <c r="I2" s="2">
        <v>180</v>
      </c>
      <c r="J2" s="3">
        <f>IF(F2="one time",G2,H2+I2)</f>
        <v>46222</v>
      </c>
      <c r="K2" t="str">
        <f ca="1">IF(E2="not applicable", "N/A",IF(TODAY()&gt;J2,"OVERDUE",IF(TODAY()+30&gt;=J2,"due soon","compliant")))</f>
        <v>compliant</v>
      </c>
      <c r="L2" t="str">
        <f t="shared" ref="L2:L33" ca="1" si="0">IF(K2="OVERDUE","RED",IF(K2="DUE SOON","AMBER",IF(K2="COMPLIANT","GREEN","")))</f>
        <v>GREEN</v>
      </c>
    </row>
    <row r="3" spans="1:13" x14ac:dyDescent="0.3">
      <c r="A3" t="s">
        <v>14</v>
      </c>
      <c r="B3">
        <v>1002</v>
      </c>
      <c r="C3" t="s">
        <v>119</v>
      </c>
      <c r="E3" t="s">
        <v>21</v>
      </c>
      <c r="F3" t="s">
        <v>15</v>
      </c>
      <c r="G3" s="1">
        <v>46157</v>
      </c>
      <c r="H3" s="1">
        <v>46127</v>
      </c>
      <c r="I3" s="2">
        <v>90</v>
      </c>
      <c r="J3" s="3">
        <f>IF(F3="one time",G3,H3+I3)</f>
        <v>46217</v>
      </c>
      <c r="K3" t="str">
        <f ca="1">IF(E3="not applicable", "N/A",IF(TODAY()&gt;J3,"OVERDUE",IF(TODAY()+30&gt;=J3,"due soon","compliant")))</f>
        <v>compliant</v>
      </c>
      <c r="L3" t="str">
        <f t="shared" ca="1" si="0"/>
        <v>GREEN</v>
      </c>
    </row>
    <row r="4" spans="1:13" x14ac:dyDescent="0.3">
      <c r="A4" t="s">
        <v>16</v>
      </c>
      <c r="B4">
        <v>1003</v>
      </c>
      <c r="C4" t="s">
        <v>120</v>
      </c>
      <c r="E4" t="s">
        <v>21</v>
      </c>
      <c r="F4" t="s">
        <v>13</v>
      </c>
      <c r="G4" s="1">
        <v>46136</v>
      </c>
      <c r="H4" s="1">
        <v>46124</v>
      </c>
      <c r="I4">
        <v>30</v>
      </c>
      <c r="J4" s="3">
        <f>IF(F4="one time",G4,H4+I4)</f>
        <v>46136</v>
      </c>
      <c r="K4" t="str">
        <f ca="1">IF(E4="not applicable", "N/A",IF(TODAY()&gt;J4,"OVERDUE",IF(TODAY()+30&gt;=J4,"due soon","compliant")))</f>
        <v>OVERDUE</v>
      </c>
      <c r="L4" t="str">
        <f t="shared" ca="1" si="0"/>
        <v>RED</v>
      </c>
    </row>
    <row r="5" spans="1:13" x14ac:dyDescent="0.3">
      <c r="A5" t="s">
        <v>17</v>
      </c>
      <c r="B5">
        <v>1004</v>
      </c>
      <c r="C5" t="s">
        <v>12</v>
      </c>
      <c r="E5" t="s">
        <v>21</v>
      </c>
      <c r="F5" t="s">
        <v>15</v>
      </c>
      <c r="G5" s="1">
        <v>46141</v>
      </c>
      <c r="H5" s="1">
        <v>46102</v>
      </c>
      <c r="I5">
        <v>90</v>
      </c>
      <c r="J5" s="3">
        <f t="shared" ref="J5:J7" si="1">IF(F5="one time",G5,H5+I5)</f>
        <v>46192</v>
      </c>
      <c r="K5" t="str">
        <f t="shared" ref="K5:K7" ca="1" si="2">IF(E5="not applicable", "N/A",IF(TODAY()&gt;J5,"OVERDUE",IF(TODAY()+30&gt;=J5,"due soon","compliant")))</f>
        <v>due soon</v>
      </c>
      <c r="L5" t="str">
        <f t="shared" ca="1" si="0"/>
        <v>AMBER</v>
      </c>
    </row>
    <row r="6" spans="1:13" x14ac:dyDescent="0.3">
      <c r="A6" t="s">
        <v>18</v>
      </c>
      <c r="B6">
        <v>1005</v>
      </c>
      <c r="C6" t="s">
        <v>121</v>
      </c>
      <c r="E6" t="s">
        <v>22</v>
      </c>
      <c r="F6" t="s">
        <v>13</v>
      </c>
      <c r="G6" s="1">
        <v>46137</v>
      </c>
      <c r="H6" s="1">
        <v>46130</v>
      </c>
      <c r="I6">
        <v>90</v>
      </c>
      <c r="J6" s="3">
        <f t="shared" si="1"/>
        <v>46137</v>
      </c>
      <c r="K6" t="str">
        <f t="shared" ca="1" si="2"/>
        <v>N/A</v>
      </c>
      <c r="L6" t="str">
        <f t="shared" ca="1" si="0"/>
        <v/>
      </c>
    </row>
    <row r="7" spans="1:13" x14ac:dyDescent="0.3">
      <c r="A7" t="s">
        <v>19</v>
      </c>
      <c r="B7">
        <v>1006</v>
      </c>
      <c r="C7" t="s">
        <v>12</v>
      </c>
      <c r="E7" t="s">
        <v>22</v>
      </c>
      <c r="F7" t="s">
        <v>15</v>
      </c>
      <c r="G7" s="1">
        <v>46129</v>
      </c>
      <c r="H7" s="1">
        <v>46119</v>
      </c>
      <c r="I7">
        <v>180</v>
      </c>
      <c r="J7" s="3">
        <f t="shared" si="1"/>
        <v>46299</v>
      </c>
      <c r="K7" t="str">
        <f t="shared" ca="1" si="2"/>
        <v>N/A</v>
      </c>
      <c r="L7" t="str">
        <f t="shared" ca="1" si="0"/>
        <v/>
      </c>
    </row>
    <row r="8" spans="1:13" x14ac:dyDescent="0.3">
      <c r="L8" t="str">
        <f t="shared" si="0"/>
        <v/>
      </c>
    </row>
    <row r="9" spans="1:13" x14ac:dyDescent="0.3">
      <c r="L9" t="str">
        <f t="shared" si="0"/>
        <v/>
      </c>
    </row>
    <row r="10" spans="1:13" x14ac:dyDescent="0.3">
      <c r="L10" t="str">
        <f t="shared" si="0"/>
        <v/>
      </c>
    </row>
    <row r="11" spans="1:13" x14ac:dyDescent="0.3">
      <c r="L11" t="str">
        <f t="shared" si="0"/>
        <v/>
      </c>
    </row>
    <row r="12" spans="1:13" x14ac:dyDescent="0.3">
      <c r="L12" t="str">
        <f t="shared" si="0"/>
        <v/>
      </c>
    </row>
    <row r="13" spans="1:13" x14ac:dyDescent="0.3">
      <c r="L13" t="str">
        <f t="shared" si="0"/>
        <v/>
      </c>
    </row>
    <row r="14" spans="1:13" x14ac:dyDescent="0.3">
      <c r="L14" t="str">
        <f t="shared" si="0"/>
        <v/>
      </c>
    </row>
    <row r="15" spans="1:13" x14ac:dyDescent="0.3">
      <c r="L15" t="str">
        <f t="shared" si="0"/>
        <v/>
      </c>
    </row>
    <row r="16" spans="1:13" x14ac:dyDescent="0.3">
      <c r="L16" t="str">
        <f t="shared" si="0"/>
        <v/>
      </c>
    </row>
    <row r="17" spans="12:12" x14ac:dyDescent="0.3">
      <c r="L17" t="str">
        <f t="shared" si="0"/>
        <v/>
      </c>
    </row>
    <row r="18" spans="12:12" x14ac:dyDescent="0.3">
      <c r="L18" t="str">
        <f t="shared" si="0"/>
        <v/>
      </c>
    </row>
    <row r="19" spans="12:12" x14ac:dyDescent="0.3">
      <c r="L19" t="str">
        <f t="shared" si="0"/>
        <v/>
      </c>
    </row>
    <row r="20" spans="12:12" x14ac:dyDescent="0.3">
      <c r="L20" t="str">
        <f t="shared" si="0"/>
        <v/>
      </c>
    </row>
    <row r="21" spans="12:12" x14ac:dyDescent="0.3">
      <c r="L21" t="str">
        <f t="shared" si="0"/>
        <v/>
      </c>
    </row>
    <row r="22" spans="12:12" x14ac:dyDescent="0.3">
      <c r="L22" t="str">
        <f t="shared" si="0"/>
        <v/>
      </c>
    </row>
    <row r="23" spans="12:12" x14ac:dyDescent="0.3">
      <c r="L23" t="str">
        <f t="shared" si="0"/>
        <v/>
      </c>
    </row>
    <row r="24" spans="12:12" x14ac:dyDescent="0.3">
      <c r="L24" t="str">
        <f t="shared" si="0"/>
        <v/>
      </c>
    </row>
    <row r="25" spans="12:12" x14ac:dyDescent="0.3">
      <c r="L25" t="str">
        <f t="shared" si="0"/>
        <v/>
      </c>
    </row>
    <row r="26" spans="12:12" x14ac:dyDescent="0.3">
      <c r="L26" t="str">
        <f t="shared" si="0"/>
        <v/>
      </c>
    </row>
    <row r="27" spans="12:12" x14ac:dyDescent="0.3">
      <c r="L27" t="str">
        <f t="shared" si="0"/>
        <v/>
      </c>
    </row>
    <row r="28" spans="12:12" x14ac:dyDescent="0.3">
      <c r="L28" t="str">
        <f t="shared" si="0"/>
        <v/>
      </c>
    </row>
    <row r="29" spans="12:12" x14ac:dyDescent="0.3">
      <c r="L29" t="str">
        <f t="shared" si="0"/>
        <v/>
      </c>
    </row>
    <row r="30" spans="12:12" x14ac:dyDescent="0.3">
      <c r="L30" t="str">
        <f t="shared" si="0"/>
        <v/>
      </c>
    </row>
    <row r="31" spans="12:12" x14ac:dyDescent="0.3">
      <c r="L31" t="str">
        <f t="shared" si="0"/>
        <v/>
      </c>
    </row>
    <row r="32" spans="12:12" x14ac:dyDescent="0.3">
      <c r="L32" t="str">
        <f t="shared" si="0"/>
        <v/>
      </c>
    </row>
    <row r="33" spans="12:12" x14ac:dyDescent="0.3">
      <c r="L33" t="str">
        <f t="shared" si="0"/>
        <v/>
      </c>
    </row>
    <row r="34" spans="12:12" x14ac:dyDescent="0.3">
      <c r="L34" t="str">
        <f t="shared" ref="L34:L65" si="3">IF(K34="OVERDUE","RED",IF(K34="DUE SOON","AMBER",IF(K34="COMPLIANT","GREEN","")))</f>
        <v/>
      </c>
    </row>
    <row r="35" spans="12:12" x14ac:dyDescent="0.3">
      <c r="L35" t="str">
        <f t="shared" si="3"/>
        <v/>
      </c>
    </row>
    <row r="36" spans="12:12" x14ac:dyDescent="0.3">
      <c r="L36" t="str">
        <f t="shared" si="3"/>
        <v/>
      </c>
    </row>
    <row r="37" spans="12:12" x14ac:dyDescent="0.3">
      <c r="L37" t="str">
        <f t="shared" si="3"/>
        <v/>
      </c>
    </row>
    <row r="38" spans="12:12" x14ac:dyDescent="0.3">
      <c r="L38" t="str">
        <f t="shared" si="3"/>
        <v/>
      </c>
    </row>
    <row r="39" spans="12:12" x14ac:dyDescent="0.3">
      <c r="L39" t="str">
        <f t="shared" si="3"/>
        <v/>
      </c>
    </row>
    <row r="40" spans="12:12" x14ac:dyDescent="0.3">
      <c r="L40" t="str">
        <f t="shared" si="3"/>
        <v/>
      </c>
    </row>
    <row r="41" spans="12:12" x14ac:dyDescent="0.3">
      <c r="L41" t="str">
        <f t="shared" si="3"/>
        <v/>
      </c>
    </row>
    <row r="42" spans="12:12" x14ac:dyDescent="0.3">
      <c r="L42" t="str">
        <f t="shared" si="3"/>
        <v/>
      </c>
    </row>
    <row r="43" spans="12:12" x14ac:dyDescent="0.3">
      <c r="L43" t="str">
        <f t="shared" si="3"/>
        <v/>
      </c>
    </row>
    <row r="44" spans="12:12" x14ac:dyDescent="0.3">
      <c r="L44" t="str">
        <f t="shared" si="3"/>
        <v/>
      </c>
    </row>
    <row r="45" spans="12:12" x14ac:dyDescent="0.3">
      <c r="L45" t="str">
        <f t="shared" si="3"/>
        <v/>
      </c>
    </row>
    <row r="46" spans="12:12" x14ac:dyDescent="0.3">
      <c r="L46" t="str">
        <f t="shared" si="3"/>
        <v/>
      </c>
    </row>
    <row r="47" spans="12:12" x14ac:dyDescent="0.3">
      <c r="L47" t="str">
        <f t="shared" si="3"/>
        <v/>
      </c>
    </row>
    <row r="48" spans="12:12" x14ac:dyDescent="0.3">
      <c r="L48" t="str">
        <f t="shared" si="3"/>
        <v/>
      </c>
    </row>
    <row r="49" spans="12:12" x14ac:dyDescent="0.3">
      <c r="L49" t="str">
        <f t="shared" si="3"/>
        <v/>
      </c>
    </row>
    <row r="50" spans="12:12" x14ac:dyDescent="0.3">
      <c r="L50" t="str">
        <f t="shared" si="3"/>
        <v/>
      </c>
    </row>
    <row r="51" spans="12:12" x14ac:dyDescent="0.3">
      <c r="L51" t="str">
        <f t="shared" si="3"/>
        <v/>
      </c>
    </row>
    <row r="52" spans="12:12" x14ac:dyDescent="0.3">
      <c r="L52" t="str">
        <f t="shared" si="3"/>
        <v/>
      </c>
    </row>
    <row r="53" spans="12:12" x14ac:dyDescent="0.3">
      <c r="L53" t="str">
        <f t="shared" si="3"/>
        <v/>
      </c>
    </row>
    <row r="54" spans="12:12" x14ac:dyDescent="0.3">
      <c r="L54" t="str">
        <f t="shared" si="3"/>
        <v/>
      </c>
    </row>
    <row r="55" spans="12:12" x14ac:dyDescent="0.3">
      <c r="L55" t="str">
        <f t="shared" si="3"/>
        <v/>
      </c>
    </row>
    <row r="56" spans="12:12" x14ac:dyDescent="0.3">
      <c r="L56" t="str">
        <f t="shared" si="3"/>
        <v/>
      </c>
    </row>
    <row r="57" spans="12:12" x14ac:dyDescent="0.3">
      <c r="L57" t="str">
        <f t="shared" si="3"/>
        <v/>
      </c>
    </row>
    <row r="58" spans="12:12" x14ac:dyDescent="0.3">
      <c r="L58" t="str">
        <f t="shared" si="3"/>
        <v/>
      </c>
    </row>
    <row r="59" spans="12:12" x14ac:dyDescent="0.3">
      <c r="L59" t="str">
        <f t="shared" si="3"/>
        <v/>
      </c>
    </row>
    <row r="60" spans="12:12" x14ac:dyDescent="0.3">
      <c r="L60" t="str">
        <f t="shared" si="3"/>
        <v/>
      </c>
    </row>
    <row r="61" spans="12:12" x14ac:dyDescent="0.3">
      <c r="L61" t="str">
        <f t="shared" si="3"/>
        <v/>
      </c>
    </row>
    <row r="62" spans="12:12" x14ac:dyDescent="0.3">
      <c r="L62" t="str">
        <f t="shared" si="3"/>
        <v/>
      </c>
    </row>
    <row r="63" spans="12:12" x14ac:dyDescent="0.3">
      <c r="L63" t="str">
        <f t="shared" si="3"/>
        <v/>
      </c>
    </row>
    <row r="64" spans="12:12" x14ac:dyDescent="0.3">
      <c r="L64" t="str">
        <f t="shared" si="3"/>
        <v/>
      </c>
    </row>
    <row r="65" spans="12:12" x14ac:dyDescent="0.3">
      <c r="L65" t="str">
        <f t="shared" si="3"/>
        <v/>
      </c>
    </row>
    <row r="66" spans="12:12" x14ac:dyDescent="0.3">
      <c r="L66" t="str">
        <f t="shared" ref="L66:L97" si="4">IF(K66="OVERDUE","RED",IF(K66="DUE SOON","AMBER",IF(K66="COMPLIANT","GREEN","")))</f>
        <v/>
      </c>
    </row>
    <row r="67" spans="12:12" x14ac:dyDescent="0.3">
      <c r="L67" t="str">
        <f t="shared" si="4"/>
        <v/>
      </c>
    </row>
    <row r="68" spans="12:12" x14ac:dyDescent="0.3">
      <c r="L68" t="str">
        <f t="shared" si="4"/>
        <v/>
      </c>
    </row>
    <row r="69" spans="12:12" x14ac:dyDescent="0.3">
      <c r="L69" t="str">
        <f t="shared" si="4"/>
        <v/>
      </c>
    </row>
    <row r="70" spans="12:12" x14ac:dyDescent="0.3">
      <c r="L70" t="str">
        <f t="shared" si="4"/>
        <v/>
      </c>
    </row>
    <row r="71" spans="12:12" x14ac:dyDescent="0.3">
      <c r="L71" t="str">
        <f t="shared" si="4"/>
        <v/>
      </c>
    </row>
    <row r="72" spans="12:12" x14ac:dyDescent="0.3">
      <c r="L72" t="str">
        <f t="shared" si="4"/>
        <v/>
      </c>
    </row>
    <row r="73" spans="12:12" x14ac:dyDescent="0.3">
      <c r="L73" t="str">
        <f t="shared" si="4"/>
        <v/>
      </c>
    </row>
    <row r="74" spans="12:12" x14ac:dyDescent="0.3">
      <c r="L74" t="str">
        <f t="shared" si="4"/>
        <v/>
      </c>
    </row>
    <row r="75" spans="12:12" x14ac:dyDescent="0.3">
      <c r="L75" t="str">
        <f t="shared" si="4"/>
        <v/>
      </c>
    </row>
    <row r="76" spans="12:12" x14ac:dyDescent="0.3">
      <c r="L76" t="str">
        <f t="shared" si="4"/>
        <v/>
      </c>
    </row>
    <row r="77" spans="12:12" x14ac:dyDescent="0.3">
      <c r="L77" t="str">
        <f t="shared" si="4"/>
        <v/>
      </c>
    </row>
    <row r="78" spans="12:12" x14ac:dyDescent="0.3">
      <c r="L78" t="str">
        <f t="shared" si="4"/>
        <v/>
      </c>
    </row>
    <row r="79" spans="12:12" x14ac:dyDescent="0.3">
      <c r="L79" t="str">
        <f t="shared" si="4"/>
        <v/>
      </c>
    </row>
    <row r="80" spans="12:12" x14ac:dyDescent="0.3">
      <c r="L80" t="str">
        <f t="shared" si="4"/>
        <v/>
      </c>
    </row>
    <row r="81" spans="12:12" x14ac:dyDescent="0.3">
      <c r="L81" t="str">
        <f t="shared" si="4"/>
        <v/>
      </c>
    </row>
    <row r="82" spans="12:12" x14ac:dyDescent="0.3">
      <c r="L82" t="str">
        <f t="shared" si="4"/>
        <v/>
      </c>
    </row>
    <row r="83" spans="12:12" x14ac:dyDescent="0.3">
      <c r="L83" t="str">
        <f t="shared" si="4"/>
        <v/>
      </c>
    </row>
    <row r="84" spans="12:12" x14ac:dyDescent="0.3">
      <c r="L84" t="str">
        <f t="shared" si="4"/>
        <v/>
      </c>
    </row>
    <row r="85" spans="12:12" x14ac:dyDescent="0.3">
      <c r="L85" t="str">
        <f t="shared" si="4"/>
        <v/>
      </c>
    </row>
    <row r="86" spans="12:12" x14ac:dyDescent="0.3">
      <c r="L86" t="str">
        <f t="shared" si="4"/>
        <v/>
      </c>
    </row>
    <row r="87" spans="12:12" x14ac:dyDescent="0.3">
      <c r="L87" t="str">
        <f t="shared" si="4"/>
        <v/>
      </c>
    </row>
    <row r="88" spans="12:12" x14ac:dyDescent="0.3">
      <c r="L88" t="str">
        <f t="shared" si="4"/>
        <v/>
      </c>
    </row>
    <row r="89" spans="12:12" x14ac:dyDescent="0.3">
      <c r="L89" t="str">
        <f t="shared" si="4"/>
        <v/>
      </c>
    </row>
    <row r="90" spans="12:12" x14ac:dyDescent="0.3">
      <c r="L90" t="str">
        <f t="shared" si="4"/>
        <v/>
      </c>
    </row>
    <row r="91" spans="12:12" x14ac:dyDescent="0.3">
      <c r="L91" t="str">
        <f t="shared" si="4"/>
        <v/>
      </c>
    </row>
    <row r="92" spans="12:12" x14ac:dyDescent="0.3">
      <c r="L92" t="str">
        <f t="shared" si="4"/>
        <v/>
      </c>
    </row>
    <row r="93" spans="12:12" x14ac:dyDescent="0.3">
      <c r="L93" t="str">
        <f t="shared" si="4"/>
        <v/>
      </c>
    </row>
    <row r="94" spans="12:12" x14ac:dyDescent="0.3">
      <c r="L94" t="str">
        <f t="shared" si="4"/>
        <v/>
      </c>
    </row>
    <row r="95" spans="12:12" x14ac:dyDescent="0.3">
      <c r="L95" t="str">
        <f t="shared" si="4"/>
        <v/>
      </c>
    </row>
    <row r="96" spans="12:12" x14ac:dyDescent="0.3">
      <c r="L96" t="str">
        <f t="shared" si="4"/>
        <v/>
      </c>
    </row>
    <row r="97" spans="12:12" x14ac:dyDescent="0.3">
      <c r="L97" t="str">
        <f t="shared" si="4"/>
        <v/>
      </c>
    </row>
    <row r="98" spans="12:12" x14ac:dyDescent="0.3">
      <c r="L98" t="str">
        <f t="shared" ref="L98:L100" si="5">IF(K98="OVERDUE","RED",IF(K98="DUE SOON","AMBER",IF(K98="COMPLIANT","GREEN","")))</f>
        <v/>
      </c>
    </row>
    <row r="99" spans="12:12" x14ac:dyDescent="0.3">
      <c r="L99" t="str">
        <f t="shared" si="5"/>
        <v/>
      </c>
    </row>
    <row r="100" spans="12:12" x14ac:dyDescent="0.3">
      <c r="L100" t="str">
        <f t="shared" si="5"/>
        <v/>
      </c>
    </row>
  </sheetData>
  <conditionalFormatting sqref="K2:K100">
    <cfRule type="cellIs" dxfId="33" priority="1" operator="equal">
      <formula>"N/A"</formula>
    </cfRule>
    <cfRule type="cellIs" dxfId="32" priority="2" operator="equal">
      <formula>"compliant"</formula>
    </cfRule>
    <cfRule type="cellIs" dxfId="31" priority="4" operator="equal">
      <formula>"overdue"</formula>
    </cfRule>
    <cfRule type="containsText" dxfId="30" priority="5" operator="containsText" text="overdue">
      <formula>NOT(ISERROR(SEARCH("overdue",K2)))</formula>
    </cfRule>
  </conditionalFormatting>
  <conditionalFormatting sqref="K2:L100">
    <cfRule type="cellIs" dxfId="29" priority="3" operator="equal">
      <formula>"due soon"</formula>
    </cfRule>
  </conditionalFormatting>
  <dataValidations count="3">
    <dataValidation type="list" allowBlank="1" showInputMessage="1" showErrorMessage="1" sqref="E8:E12 F15:F20 E18:E21 E25:E100" xr:uid="{9B010ED4-6449-433A-A001-F6B01477E0E3}">
      <formula1>"applicable, not applicable"</formula1>
    </dataValidation>
    <dataValidation type="list" allowBlank="1" showInputMessage="1" showErrorMessage="1" sqref="F2:F12 G20 G17:G18 F25:F100 G15 F21" xr:uid="{D0B0B72C-9A22-4EAC-9D32-C9558964EBBA}">
      <formula1>"one time, repetitive"</formula1>
    </dataValidation>
    <dataValidation type="list" allowBlank="1" showInputMessage="1" showErrorMessage="1" sqref="E2:E7" xr:uid="{4590EA14-9CFE-461D-B9C9-EB46FF705E7F}">
      <formula1>"APPLICABLE, 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AAFC-32BF-4348-951C-13258B16F80B}">
  <dimension ref="A1:J18"/>
  <sheetViews>
    <sheetView zoomScale="80" zoomScaleNormal="115" workbookViewId="0">
      <selection activeCell="B5" sqref="B5"/>
    </sheetView>
  </sheetViews>
  <sheetFormatPr defaultRowHeight="15.6" x14ac:dyDescent="0.3"/>
  <cols>
    <col min="1" max="1" width="25.69921875" bestFit="1" customWidth="1"/>
    <col min="2" max="2" width="13.3984375" customWidth="1"/>
    <col min="3" max="3" width="16.19921875" bestFit="1" customWidth="1"/>
    <col min="4" max="4" width="10.09765625" bestFit="1" customWidth="1"/>
    <col min="5" max="5" width="9.8984375" bestFit="1" customWidth="1"/>
    <col min="6" max="6" width="12.8984375" bestFit="1" customWidth="1"/>
    <col min="7" max="7" width="20.19921875" bestFit="1" customWidth="1"/>
    <col min="8" max="8" width="22.59765625" bestFit="1" customWidth="1"/>
    <col min="9" max="9" width="23.69921875" bestFit="1" customWidth="1"/>
    <col min="10" max="10" width="26.3984375" bestFit="1" customWidth="1"/>
  </cols>
  <sheetData>
    <row r="1" spans="1:10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43</v>
      </c>
      <c r="I1" t="s">
        <v>47</v>
      </c>
      <c r="J1" t="s">
        <v>48</v>
      </c>
    </row>
    <row r="2" spans="1:10" x14ac:dyDescent="0.3">
      <c r="A2" t="s">
        <v>30</v>
      </c>
      <c r="B2">
        <v>32450</v>
      </c>
      <c r="C2">
        <v>18420</v>
      </c>
      <c r="D2">
        <v>7</v>
      </c>
      <c r="E2">
        <v>3</v>
      </c>
      <c r="F2">
        <f>B2/C2</f>
        <v>1.7616720955483169</v>
      </c>
      <c r="G2" t="str">
        <f>IF(D2&gt;12,"VERY HIGH",IF(D2&gt;9,"HIGH",IF(Table2[[#This Row],[daily FH]]&gt;=8,"MEDIUM","LOW")))</f>
        <v>LOW</v>
      </c>
      <c r="H2">
        <f>500-MOD(Table2[[#This Row],[FH]],500)</f>
        <v>50</v>
      </c>
      <c r="I2" t="str">
        <f>IF(Table2[[#This Row],[Remaining FH to check ]]&lt;=50,"urgent",IF(Table2[[#This Row],[Remaining FH to check ]]&lt;150,"due soon","normal"))</f>
        <v>urgent</v>
      </c>
      <c r="J2">
        <f>ROUND(Table2[[#This Row],[Remaining FH to check ]]/Table2[[#This Row],[daily FH]],0)</f>
        <v>7</v>
      </c>
    </row>
    <row r="3" spans="1:10" x14ac:dyDescent="0.3">
      <c r="A3" t="s">
        <v>31</v>
      </c>
      <c r="B3">
        <v>28900</v>
      </c>
      <c r="C3">
        <v>16200</v>
      </c>
      <c r="D3">
        <v>8</v>
      </c>
      <c r="E3">
        <v>4</v>
      </c>
      <c r="F3">
        <f t="shared" ref="F3:F10" si="0">B3/C3</f>
        <v>1.7839506172839505</v>
      </c>
      <c r="G3" t="str">
        <f>IF(D3&gt;12,"VERY HIGH",IF(D3&gt;9,"HIGH",IF(Table2[[#This Row],[daily FH]]&gt;=8,"MEDIUM","LOW")))</f>
        <v>MEDIUM</v>
      </c>
      <c r="H3">
        <f>500-MOD(Table2[[#This Row],[FH]],500)</f>
        <v>100</v>
      </c>
      <c r="I3" t="str">
        <f>IF(Table2[[#This Row],[Remaining FH to check ]]&lt;=50,"urgent",IF(Table2[[#This Row],[Remaining FH to check ]]&lt;150,"due soon","normal"))</f>
        <v>due soon</v>
      </c>
      <c r="J3">
        <f>ROUND(Table2[[#This Row],[Remaining FH to check ]]/Table2[[#This Row],[daily FH]],0)</f>
        <v>13</v>
      </c>
    </row>
    <row r="4" spans="1:10" x14ac:dyDescent="0.3">
      <c r="A4" t="s">
        <v>32</v>
      </c>
      <c r="B4">
        <v>40120</v>
      </c>
      <c r="C4">
        <v>12345</v>
      </c>
      <c r="D4">
        <v>9</v>
      </c>
      <c r="E4">
        <v>5</v>
      </c>
      <c r="F4">
        <f t="shared" si="0"/>
        <v>3.2498987444309435</v>
      </c>
      <c r="G4" t="str">
        <f>IF(D4&gt;12,"VERY HIGH",IF(D4&gt;9,"HIGH",IF(Table2[[#This Row],[daily FH]]&gt;=8,"MEDIUM","LOW")))</f>
        <v>MEDIUM</v>
      </c>
      <c r="H4">
        <f>500-MOD(Table2[[#This Row],[FH]],500)</f>
        <v>380</v>
      </c>
      <c r="I4" t="str">
        <f>IF(Table2[[#This Row],[Remaining FH to check ]]&lt;=50,"urgent",IF(Table2[[#This Row],[Remaining FH to check ]]&lt;150,"due soon","normal"))</f>
        <v>normal</v>
      </c>
      <c r="J4">
        <f>ROUND(Table2[[#This Row],[Remaining FH to check ]]/Table2[[#This Row],[daily FH]],0)</f>
        <v>42</v>
      </c>
    </row>
    <row r="5" spans="1:10" x14ac:dyDescent="0.3">
      <c r="A5" t="s">
        <v>33</v>
      </c>
      <c r="B5">
        <v>25000</v>
      </c>
      <c r="C5">
        <v>37521</v>
      </c>
      <c r="D5">
        <v>10</v>
      </c>
      <c r="E5">
        <v>6</v>
      </c>
      <c r="F5">
        <f t="shared" si="0"/>
        <v>0.6662935422829882</v>
      </c>
      <c r="G5" t="str">
        <f>IF(D5&gt;12,"VERY HIGH",IF(D5&gt;9,"HIGH",IF(Table2[[#This Row],[daily FH]]&gt;=8,"MEDIUM","LOW")))</f>
        <v>HIGH</v>
      </c>
      <c r="H5">
        <f>500-MOD(Table2[[#This Row],[FH]],500)</f>
        <v>500</v>
      </c>
      <c r="I5" t="str">
        <f>IF(Table2[[#This Row],[Remaining FH to check ]]&lt;=50,"urgent",IF(Table2[[#This Row],[Remaining FH to check ]]&lt;150,"due soon","normal"))</f>
        <v>normal</v>
      </c>
      <c r="J5">
        <f>ROUND(Table2[[#This Row],[Remaining FH to check ]]/Table2[[#This Row],[daily FH]],0)</f>
        <v>50</v>
      </c>
    </row>
    <row r="6" spans="1:10" x14ac:dyDescent="0.3">
      <c r="A6" t="s">
        <v>34</v>
      </c>
      <c r="B6">
        <v>26000</v>
      </c>
      <c r="C6">
        <v>21020</v>
      </c>
      <c r="D6">
        <v>11</v>
      </c>
      <c r="E6">
        <v>7</v>
      </c>
      <c r="F6">
        <f t="shared" si="0"/>
        <v>1.2369172216936251</v>
      </c>
      <c r="G6" t="str">
        <f>IF(D6&gt;12,"VERY HIGH",IF(D6&gt;9,"HIGH",IF(Table2[[#This Row],[daily FH]]&gt;=8,"MEDIUM","LOW")))</f>
        <v>HIGH</v>
      </c>
      <c r="H6">
        <f>500-MOD(Table2[[#This Row],[FH]],500)</f>
        <v>500</v>
      </c>
      <c r="I6" t="str">
        <f>IF(Table2[[#This Row],[Remaining FH to check ]]&lt;=50,"urgent",IF(Table2[[#This Row],[Remaining FH to check ]]&lt;150,"due soon","normal"))</f>
        <v>normal</v>
      </c>
      <c r="J6">
        <f>ROUND(Table2[[#This Row],[Remaining FH to check ]]/Table2[[#This Row],[daily FH]],0)</f>
        <v>45</v>
      </c>
    </row>
    <row r="7" spans="1:10" x14ac:dyDescent="0.3">
      <c r="A7" t="s">
        <v>35</v>
      </c>
      <c r="B7">
        <v>21943</v>
      </c>
      <c r="C7">
        <v>43432</v>
      </c>
      <c r="D7">
        <v>12</v>
      </c>
      <c r="E7">
        <v>8</v>
      </c>
      <c r="F7">
        <f t="shared" si="0"/>
        <v>0.50522656106096886</v>
      </c>
      <c r="G7" t="str">
        <f>IF(D7&gt;12,"VERY HIGH",IF(D7&gt;9,"HIGH",IF(Table2[[#This Row],[daily FH]]&gt;=8,"MEDIUM","LOW")))</f>
        <v>HIGH</v>
      </c>
      <c r="H7">
        <f>500-MOD(Table2[[#This Row],[FH]],500)</f>
        <v>57</v>
      </c>
      <c r="I7" t="str">
        <f>IF(Table2[[#This Row],[Remaining FH to check ]]&lt;=50,"urgent",IF(Table2[[#This Row],[Remaining FH to check ]]&lt;150,"due soon","normal"))</f>
        <v>due soon</v>
      </c>
      <c r="J7">
        <f>ROUND(Table2[[#This Row],[Remaining FH to check ]]/Table2[[#This Row],[daily FH]],0)</f>
        <v>5</v>
      </c>
    </row>
    <row r="8" spans="1:10" x14ac:dyDescent="0.3">
      <c r="A8" t="s">
        <v>36</v>
      </c>
      <c r="B8">
        <v>37894</v>
      </c>
      <c r="C8">
        <v>45232</v>
      </c>
      <c r="D8">
        <v>13</v>
      </c>
      <c r="E8">
        <v>4</v>
      </c>
      <c r="F8">
        <f t="shared" si="0"/>
        <v>0.83776972055182175</v>
      </c>
      <c r="G8" t="str">
        <f>IF(D8&gt;12,"VERY HIGH",IF(D8&gt;9,"HIGH",IF(Table2[[#This Row],[daily FH]]&gt;=8,"MEDIUM","LOW")))</f>
        <v>VERY HIGH</v>
      </c>
      <c r="H8">
        <f>500-MOD(Table2[[#This Row],[FH]],500)</f>
        <v>106</v>
      </c>
      <c r="I8" t="str">
        <f>IF(Table2[[#This Row],[Remaining FH to check ]]&lt;=50,"urgent",IF(Table2[[#This Row],[Remaining FH to check ]]&lt;150,"due soon","normal"))</f>
        <v>due soon</v>
      </c>
      <c r="J8">
        <f>ROUND(Table2[[#This Row],[Remaining FH to check ]]/Table2[[#This Row],[daily FH]],0)</f>
        <v>8</v>
      </c>
    </row>
    <row r="9" spans="1:10" x14ac:dyDescent="0.3">
      <c r="A9" t="s">
        <v>37</v>
      </c>
      <c r="B9">
        <v>34526</v>
      </c>
      <c r="C9">
        <v>14634</v>
      </c>
      <c r="D9">
        <v>14</v>
      </c>
      <c r="E9">
        <v>6</v>
      </c>
      <c r="F9">
        <f t="shared" si="0"/>
        <v>2.3593002596692632</v>
      </c>
      <c r="G9" t="str">
        <f>IF(D9&gt;12,"VERY HIGH",IF(D9&gt;9,"HIGH",IF(Table2[[#This Row],[daily FH]]&gt;=8,"MEDIUM","LOW")))</f>
        <v>VERY HIGH</v>
      </c>
      <c r="H9">
        <f>500-MOD(Table2[[#This Row],[FH]],500)</f>
        <v>474</v>
      </c>
      <c r="I9" t="str">
        <f>IF(Table2[[#This Row],[Remaining FH to check ]]&lt;=50,"urgent",IF(Table2[[#This Row],[Remaining FH to check ]]&lt;150,"due soon","normal"))</f>
        <v>normal</v>
      </c>
      <c r="J9">
        <f>ROUND(Table2[[#This Row],[Remaining FH to check ]]/Table2[[#This Row],[daily FH]],0)</f>
        <v>34</v>
      </c>
    </row>
    <row r="10" spans="1:10" x14ac:dyDescent="0.3">
      <c r="A10" t="s">
        <v>38</v>
      </c>
      <c r="B10">
        <v>45673</v>
      </c>
      <c r="C10">
        <v>10234</v>
      </c>
      <c r="D10">
        <v>12</v>
      </c>
      <c r="E10">
        <v>5</v>
      </c>
      <c r="F10">
        <f t="shared" si="0"/>
        <v>4.4628688684776234</v>
      </c>
      <c r="G10" t="str">
        <f>IF(D10&gt;12,"VERY HIGH",IF(D10&gt;9,"HIGH",IF(Table2[[#This Row],[daily FH]]&gt;=8,"MEDIUM","LOW")))</f>
        <v>HIGH</v>
      </c>
      <c r="H10">
        <f>500-MOD(Table2[[#This Row],[FH]],500)</f>
        <v>327</v>
      </c>
      <c r="I10" t="str">
        <f>IF(Table2[[#This Row],[Remaining FH to check ]]&lt;=50,"urgent",IF(Table2[[#This Row],[Remaining FH to check ]]&lt;150,"due soon","normal"))</f>
        <v>normal</v>
      </c>
      <c r="J10">
        <f>ROUND(Table2[[#This Row],[Remaining FH to check ]]/Table2[[#This Row],[daily FH]],0)</f>
        <v>27</v>
      </c>
    </row>
    <row r="12" spans="1:10" x14ac:dyDescent="0.3">
      <c r="A12" t="s">
        <v>39</v>
      </c>
      <c r="B12">
        <f>AVERAGE(Table2[daily FH])</f>
        <v>10.666666666666666</v>
      </c>
    </row>
    <row r="13" spans="1:10" x14ac:dyDescent="0.3">
      <c r="A13" t="s">
        <v>40</v>
      </c>
      <c r="B13">
        <f>AVERAGE(Table2[daily FC])</f>
        <v>5.333333333333333</v>
      </c>
    </row>
    <row r="14" spans="1:10" x14ac:dyDescent="0.3">
      <c r="A14" t="s">
        <v>41</v>
      </c>
      <c r="B14" t="str">
        <f>_xlfn.XLOOKUP(MAX(Table2[FH]),Table2[FH],Table2[Aircraft])</f>
        <v>VT-EXJ</v>
      </c>
    </row>
    <row r="15" spans="1:10" x14ac:dyDescent="0.3">
      <c r="A15" t="s">
        <v>42</v>
      </c>
      <c r="B15">
        <f>MAX(Table2[daily FH])</f>
        <v>14</v>
      </c>
    </row>
    <row r="16" spans="1:10" x14ac:dyDescent="0.3">
      <c r="A16" t="s">
        <v>44</v>
      </c>
      <c r="B16" t="str">
        <f>_xlfn.XLOOKUP(MAX(Table2[daily FH]),Table2[daily FH],Table2[Aircraft])</f>
        <v>VT-EXI</v>
      </c>
    </row>
    <row r="17" spans="1:2" x14ac:dyDescent="0.3">
      <c r="A17" t="s">
        <v>45</v>
      </c>
      <c r="B17" t="str">
        <f>_xlfn.XLOOKUP(MAX(Table2[FC]),Table2[FC],Table2[Aircraft])</f>
        <v>VT-EXH</v>
      </c>
    </row>
    <row r="18" spans="1:2" x14ac:dyDescent="0.3">
      <c r="A18" t="s">
        <v>46</v>
      </c>
      <c r="B18" t="str">
        <f>_xlfn.XLOOKUP(MIN(Table2[[Remaining FH to check ]]),Table2[[Remaining FH to check ]],Table2[Aircraft])</f>
        <v>VT-EXA</v>
      </c>
    </row>
  </sheetData>
  <conditionalFormatting sqref="G2:G10">
    <cfRule type="containsText" dxfId="28" priority="6" operator="containsText" text="low">
      <formula>NOT(ISERROR(SEARCH("low",G2)))</formula>
    </cfRule>
    <cfRule type="containsText" dxfId="27" priority="7" operator="containsText" text="medium">
      <formula>NOT(ISERROR(SEARCH("medium",G2)))</formula>
    </cfRule>
    <cfRule type="containsText" dxfId="26" priority="8" operator="containsText" text="high">
      <formula>NOT(ISERROR(SEARCH("high",G2)))</formula>
    </cfRule>
  </conditionalFormatting>
  <conditionalFormatting sqref="G8">
    <cfRule type="containsText" dxfId="25" priority="5" operator="containsText" text="very high">
      <formula>NOT(ISERROR(SEARCH("very high",G8)))</formula>
    </cfRule>
  </conditionalFormatting>
  <conditionalFormatting sqref="I2:I10">
    <cfRule type="containsText" dxfId="24" priority="1" operator="containsText" text="urgent">
      <formula>NOT(ISERROR(SEARCH("urgent",I2)))</formula>
    </cfRule>
    <cfRule type="containsText" dxfId="23" priority="2" operator="containsText" text="normal">
      <formula>NOT(ISERROR(SEARCH("normal",I2)))</formula>
    </cfRule>
    <cfRule type="containsText" dxfId="22" priority="3" operator="containsText" text="normal ">
      <formula>NOT(ISERROR(SEARCH("normal ",I2)))</formula>
    </cfRule>
    <cfRule type="containsText" dxfId="21" priority="4" operator="containsText" text="DUE SOON">
      <formula>NOT(ISERROR(SEARCH("DUE SOON",I2)))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63D9-6DAE-4201-BEDC-4A037B91D057}">
  <dimension ref="A3:B13"/>
  <sheetViews>
    <sheetView zoomScaleNormal="100" workbookViewId="0">
      <selection activeCell="B6" sqref="B6"/>
    </sheetView>
  </sheetViews>
  <sheetFormatPr defaultRowHeight="15.6" x14ac:dyDescent="0.3"/>
  <cols>
    <col min="1" max="1" width="12.296875" bestFit="1" customWidth="1"/>
    <col min="2" max="2" width="14" bestFit="1" customWidth="1"/>
  </cols>
  <sheetData>
    <row r="3" spans="1:2" x14ac:dyDescent="0.3">
      <c r="A3" s="13" t="s">
        <v>114</v>
      </c>
      <c r="B3" t="s">
        <v>118</v>
      </c>
    </row>
    <row r="4" spans="1:2" x14ac:dyDescent="0.3">
      <c r="A4" s="14" t="s">
        <v>37</v>
      </c>
      <c r="B4">
        <v>14</v>
      </c>
    </row>
    <row r="5" spans="1:2" x14ac:dyDescent="0.3">
      <c r="A5" s="14" t="s">
        <v>36</v>
      </c>
      <c r="B5">
        <v>13</v>
      </c>
    </row>
    <row r="6" spans="1:2" x14ac:dyDescent="0.3">
      <c r="A6" s="14" t="s">
        <v>38</v>
      </c>
      <c r="B6">
        <v>12</v>
      </c>
    </row>
    <row r="7" spans="1:2" x14ac:dyDescent="0.3">
      <c r="A7" s="14" t="s">
        <v>35</v>
      </c>
      <c r="B7">
        <v>12</v>
      </c>
    </row>
    <row r="8" spans="1:2" x14ac:dyDescent="0.3">
      <c r="A8" s="14" t="s">
        <v>34</v>
      </c>
      <c r="B8">
        <v>11</v>
      </c>
    </row>
    <row r="9" spans="1:2" x14ac:dyDescent="0.3">
      <c r="A9" s="14" t="s">
        <v>33</v>
      </c>
      <c r="B9">
        <v>10</v>
      </c>
    </row>
    <row r="10" spans="1:2" x14ac:dyDescent="0.3">
      <c r="A10" s="14" t="s">
        <v>32</v>
      </c>
      <c r="B10">
        <v>9</v>
      </c>
    </row>
    <row r="11" spans="1:2" x14ac:dyDescent="0.3">
      <c r="A11" s="14" t="s">
        <v>31</v>
      </c>
      <c r="B11">
        <v>8</v>
      </c>
    </row>
    <row r="12" spans="1:2" x14ac:dyDescent="0.3">
      <c r="A12" s="14" t="s">
        <v>30</v>
      </c>
      <c r="B12">
        <v>7</v>
      </c>
    </row>
    <row r="13" spans="1:2" x14ac:dyDescent="0.3">
      <c r="A13" s="14" t="s">
        <v>115</v>
      </c>
      <c r="B13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3D3E-D32D-453C-8214-B0FFABFB021E}">
  <dimension ref="A1:J21"/>
  <sheetViews>
    <sheetView zoomScale="86" zoomScaleNormal="100" workbookViewId="0">
      <selection activeCell="J9" sqref="J9"/>
    </sheetView>
  </sheetViews>
  <sheetFormatPr defaultRowHeight="15.6" x14ac:dyDescent="0.3"/>
  <cols>
    <col min="1" max="1" width="13.19921875" customWidth="1"/>
    <col min="2" max="2" width="11.69921875" bestFit="1" customWidth="1"/>
    <col min="3" max="3" width="14.5" bestFit="1" customWidth="1"/>
    <col min="4" max="4" width="13.796875" bestFit="1" customWidth="1"/>
    <col min="5" max="5" width="14" bestFit="1" customWidth="1"/>
    <col min="6" max="6" width="21.59765625" bestFit="1" customWidth="1"/>
    <col min="7" max="7" width="19.09765625" bestFit="1" customWidth="1"/>
    <col min="8" max="8" width="17.69921875" bestFit="1" customWidth="1"/>
    <col min="9" max="9" width="17.69921875" customWidth="1"/>
    <col min="10" max="10" width="22.59765625" customWidth="1"/>
  </cols>
  <sheetData>
    <row r="1" spans="1:10" x14ac:dyDescent="0.3">
      <c r="A1" t="s">
        <v>23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55</v>
      </c>
      <c r="H1" t="s">
        <v>54</v>
      </c>
      <c r="I1" t="s">
        <v>56</v>
      </c>
      <c r="J1" t="s">
        <v>62</v>
      </c>
    </row>
    <row r="2" spans="1:10" x14ac:dyDescent="0.3">
      <c r="A2" s="4" t="s">
        <v>30</v>
      </c>
      <c r="B2">
        <v>32450</v>
      </c>
      <c r="C2">
        <v>400</v>
      </c>
      <c r="D2">
        <f>CEILING(B2,C2)</f>
        <v>32800</v>
      </c>
      <c r="E2">
        <f>D2-B2</f>
        <v>350</v>
      </c>
      <c r="F2">
        <v>13</v>
      </c>
      <c r="G2">
        <f t="shared" ref="G2:G10" si="0">ROUND(E2/F2,0)</f>
        <v>27</v>
      </c>
      <c r="H2" s="1">
        <f ca="1">TODAY()+ROUND(G2,0)</f>
        <v>46202</v>
      </c>
      <c r="I2" t="str">
        <f>IF(Table3[[#This Row],[Estimated days left]]&lt;=3,"AOG RISK",IF(Table3[[#This Row],[Estimated days left]]&lt;=10,"urgent",IF(Table3[[#This Row],[Estimated days left]]&lt;=30,"plan","normal")))</f>
        <v>plan</v>
      </c>
      <c r="J2" t="str">
        <f t="shared" ref="J2:J10" si="1">IF(G2&lt;F13,"FH limit","FC limit")</f>
        <v>FC limit</v>
      </c>
    </row>
    <row r="3" spans="1:10" x14ac:dyDescent="0.3">
      <c r="A3" s="6" t="s">
        <v>31</v>
      </c>
      <c r="B3">
        <v>28900</v>
      </c>
      <c r="C3">
        <v>500</v>
      </c>
      <c r="D3">
        <f t="shared" ref="D3:D9" si="2">CEILING(B3,C3)</f>
        <v>29000</v>
      </c>
      <c r="E3">
        <f t="shared" ref="E3:E10" si="3">D3-B3</f>
        <v>100</v>
      </c>
      <c r="F3">
        <v>10</v>
      </c>
      <c r="G3">
        <f t="shared" si="0"/>
        <v>10</v>
      </c>
      <c r="H3" s="1">
        <f t="shared" ref="H3:H10" ca="1" si="4">TODAY()+ROUND(G3,0)</f>
        <v>46185</v>
      </c>
      <c r="I3" t="str">
        <f>IF(Table3[[#This Row],[Estimated days left]]&lt;=3,"AOG RISK",IF(Table3[[#This Row],[Estimated days left]]&lt;=10,"urgent",IF(Table3[[#This Row],[Estimated days left]]&lt;=30,"plan","normal")))</f>
        <v>urgent</v>
      </c>
      <c r="J3" t="str">
        <f t="shared" si="1"/>
        <v>FH limit</v>
      </c>
    </row>
    <row r="4" spans="1:10" x14ac:dyDescent="0.3">
      <c r="A4" s="4" t="s">
        <v>32</v>
      </c>
      <c r="B4">
        <v>40120</v>
      </c>
      <c r="C4">
        <v>540</v>
      </c>
      <c r="D4">
        <f t="shared" si="2"/>
        <v>40500</v>
      </c>
      <c r="E4">
        <f t="shared" si="3"/>
        <v>380</v>
      </c>
      <c r="F4">
        <v>9</v>
      </c>
      <c r="G4">
        <f t="shared" si="0"/>
        <v>42</v>
      </c>
      <c r="H4" s="1">
        <f t="shared" ca="1" si="4"/>
        <v>46217</v>
      </c>
      <c r="I4" t="str">
        <f>IF(Table3[[#This Row],[Estimated days left]]&lt;=3,"AOG RISK",IF(Table3[[#This Row],[Estimated days left]]&lt;=10,"urgent",IF(Table3[[#This Row],[Estimated days left]]&lt;=30,"plan","normal")))</f>
        <v>normal</v>
      </c>
      <c r="J4" t="str">
        <f t="shared" si="1"/>
        <v>FH limit</v>
      </c>
    </row>
    <row r="5" spans="1:10" x14ac:dyDescent="0.3">
      <c r="A5" s="6" t="s">
        <v>33</v>
      </c>
      <c r="B5">
        <v>25000</v>
      </c>
      <c r="C5">
        <v>750</v>
      </c>
      <c r="D5">
        <f t="shared" si="2"/>
        <v>25500</v>
      </c>
      <c r="E5">
        <f t="shared" si="3"/>
        <v>500</v>
      </c>
      <c r="F5">
        <v>9</v>
      </c>
      <c r="G5">
        <f t="shared" si="0"/>
        <v>56</v>
      </c>
      <c r="H5" s="1">
        <f t="shared" ca="1" si="4"/>
        <v>46231</v>
      </c>
      <c r="I5" t="str">
        <f>IF(Table3[[#This Row],[Estimated days left]]&lt;=3,"AOG RISK",IF(Table3[[#This Row],[Estimated days left]]&lt;=10,"urgent",IF(Table3[[#This Row],[Estimated days left]]&lt;=30,"plan","normal")))</f>
        <v>normal</v>
      </c>
      <c r="J5" t="str">
        <f t="shared" si="1"/>
        <v>FC limit</v>
      </c>
    </row>
    <row r="6" spans="1:10" x14ac:dyDescent="0.3">
      <c r="A6" s="4" t="s">
        <v>34</v>
      </c>
      <c r="B6">
        <v>26000</v>
      </c>
      <c r="C6">
        <v>1000</v>
      </c>
      <c r="D6">
        <f t="shared" si="2"/>
        <v>26000</v>
      </c>
      <c r="E6">
        <f t="shared" si="3"/>
        <v>0</v>
      </c>
      <c r="F6">
        <v>12</v>
      </c>
      <c r="G6">
        <f t="shared" si="0"/>
        <v>0</v>
      </c>
      <c r="H6" s="1">
        <f t="shared" ca="1" si="4"/>
        <v>46175</v>
      </c>
      <c r="I6" t="str">
        <f>IF(Table3[[#This Row],[Estimated days left]]&lt;=3,"AOG RISK",IF(Table3[[#This Row],[Estimated days left]]&lt;=10,"urgent",IF(Table3[[#This Row],[Estimated days left]]&lt;=30,"plan","normal")))</f>
        <v>AOG RISK</v>
      </c>
      <c r="J6" t="str">
        <f t="shared" si="1"/>
        <v>FH limit</v>
      </c>
    </row>
    <row r="7" spans="1:10" x14ac:dyDescent="0.3">
      <c r="A7" s="6" t="s">
        <v>35</v>
      </c>
      <c r="B7">
        <v>21943</v>
      </c>
      <c r="C7">
        <v>600</v>
      </c>
      <c r="D7">
        <f t="shared" si="2"/>
        <v>22200</v>
      </c>
      <c r="E7">
        <f t="shared" si="3"/>
        <v>257</v>
      </c>
      <c r="F7">
        <v>7</v>
      </c>
      <c r="G7">
        <f t="shared" si="0"/>
        <v>37</v>
      </c>
      <c r="H7" s="1">
        <f t="shared" ca="1" si="4"/>
        <v>46212</v>
      </c>
      <c r="I7" t="str">
        <f>IF(Table3[[#This Row],[Estimated days left]]&lt;=3,"AOG RISK",IF(Table3[[#This Row],[Estimated days left]]&lt;=10,"urgent",IF(Table3[[#This Row],[Estimated days left]]&lt;=30,"plan","normal")))</f>
        <v>normal</v>
      </c>
      <c r="J7" t="str">
        <f t="shared" si="1"/>
        <v>FH limit</v>
      </c>
    </row>
    <row r="8" spans="1:10" x14ac:dyDescent="0.3">
      <c r="A8" s="4" t="s">
        <v>36</v>
      </c>
      <c r="B8">
        <v>37894</v>
      </c>
      <c r="C8">
        <v>530</v>
      </c>
      <c r="D8">
        <f t="shared" si="2"/>
        <v>38160</v>
      </c>
      <c r="E8">
        <f t="shared" si="3"/>
        <v>266</v>
      </c>
      <c r="F8">
        <v>13</v>
      </c>
      <c r="G8">
        <f t="shared" si="0"/>
        <v>20</v>
      </c>
      <c r="H8" s="1">
        <f t="shared" ca="1" si="4"/>
        <v>46195</v>
      </c>
      <c r="I8" t="str">
        <f>IF(Table3[[#This Row],[Estimated days left]]&lt;=3,"AOG RISK",IF(Table3[[#This Row],[Estimated days left]]&lt;=10,"urgent",IF(Table3[[#This Row],[Estimated days left]]&lt;=30,"plan","normal")))</f>
        <v>plan</v>
      </c>
      <c r="J8" t="str">
        <f t="shared" si="1"/>
        <v>FH limit</v>
      </c>
    </row>
    <row r="9" spans="1:10" x14ac:dyDescent="0.3">
      <c r="A9" s="6" t="s">
        <v>37</v>
      </c>
      <c r="B9">
        <v>34526</v>
      </c>
      <c r="C9">
        <v>600</v>
      </c>
      <c r="D9">
        <f t="shared" si="2"/>
        <v>34800</v>
      </c>
      <c r="E9">
        <f t="shared" si="3"/>
        <v>274</v>
      </c>
      <c r="F9">
        <v>11</v>
      </c>
      <c r="G9">
        <f t="shared" si="0"/>
        <v>25</v>
      </c>
      <c r="H9" s="1">
        <f t="shared" ca="1" si="4"/>
        <v>46200</v>
      </c>
      <c r="I9" t="str">
        <f>IF(Table3[[#This Row],[Estimated days left]]&lt;=3,"AOG RISK",IF(Table3[[#This Row],[Estimated days left]]&lt;=10,"urgent",IF(Table3[[#This Row],[Estimated days left]]&lt;=30,"plan","normal")))</f>
        <v>plan</v>
      </c>
      <c r="J9" t="str">
        <f t="shared" si="1"/>
        <v>FH limit</v>
      </c>
    </row>
    <row r="10" spans="1:10" x14ac:dyDescent="0.3">
      <c r="A10" s="4" t="s">
        <v>38</v>
      </c>
      <c r="B10">
        <v>45673</v>
      </c>
      <c r="C10">
        <v>525</v>
      </c>
      <c r="D10">
        <f>CEILING(B10,C10)</f>
        <v>45675</v>
      </c>
      <c r="E10">
        <f t="shared" si="3"/>
        <v>2</v>
      </c>
      <c r="F10">
        <v>6</v>
      </c>
      <c r="G10">
        <f t="shared" si="0"/>
        <v>0</v>
      </c>
      <c r="H10" s="1">
        <f t="shared" ca="1" si="4"/>
        <v>46175</v>
      </c>
      <c r="I10" t="str">
        <f>IF(Table3[[#This Row],[Estimated days left]]&lt;=3,"AOG RISK",IF(Table3[[#This Row],[Estimated days left]]&lt;=10,"urgent",IF(Table3[[#This Row],[Estimated days left]]&lt;=30,"plan","normal")))</f>
        <v>AOG RISK</v>
      </c>
      <c r="J10" t="str">
        <f t="shared" si="1"/>
        <v>FH limit</v>
      </c>
    </row>
    <row r="12" spans="1:10" x14ac:dyDescent="0.3">
      <c r="A12" s="8" t="s">
        <v>23</v>
      </c>
      <c r="B12" s="9" t="s">
        <v>57</v>
      </c>
      <c r="C12" s="9" t="s">
        <v>58</v>
      </c>
      <c r="D12" s="9" t="s">
        <v>59</v>
      </c>
      <c r="E12" s="9" t="s">
        <v>60</v>
      </c>
      <c r="F12" s="9" t="s">
        <v>61</v>
      </c>
      <c r="G12" s="10" t="s">
        <v>56</v>
      </c>
    </row>
    <row r="13" spans="1:10" x14ac:dyDescent="0.3">
      <c r="A13" s="5" t="s">
        <v>30</v>
      </c>
      <c r="B13">
        <v>32000</v>
      </c>
      <c r="C13">
        <v>32050</v>
      </c>
      <c r="D13">
        <f>Table4[[#This Row],[check FC limit]]-Table4[[#This Row],[current FC]]</f>
        <v>50</v>
      </c>
      <c r="E13">
        <v>3</v>
      </c>
      <c r="F13">
        <f>ROUND(Table4[[#This Row],[remaining FC]]/Table4[[#This Row],[Daily FC]],0)</f>
        <v>17</v>
      </c>
      <c r="G13" t="str">
        <f>IF(Table4[[#This Row],[estimated FC days left]]&lt;=10,"urgent",IF(Table4[[#This Row],[estimated FC days left]]&lt;=30,"plan","normal"))</f>
        <v>plan</v>
      </c>
    </row>
    <row r="14" spans="1:10" x14ac:dyDescent="0.3">
      <c r="A14" s="7" t="s">
        <v>31</v>
      </c>
      <c r="B14">
        <v>34345</v>
      </c>
      <c r="C14">
        <v>37000</v>
      </c>
      <c r="D14">
        <f>Table4[[#This Row],[check FC limit]]-Table4[[#This Row],[current FC]]</f>
        <v>2655</v>
      </c>
      <c r="E14">
        <v>4</v>
      </c>
      <c r="F14">
        <f>ROUND(Table4[[#This Row],[remaining FC]]/Table4[[#This Row],[Daily FC]],0)</f>
        <v>664</v>
      </c>
      <c r="G14" t="str">
        <f>IF(Table4[[#This Row],[estimated FC days left]]&lt;=10,"urgent",IF(Table4[[#This Row],[estimated FC days left]]&lt;=30,"plan","normal"))</f>
        <v>normal</v>
      </c>
    </row>
    <row r="15" spans="1:10" x14ac:dyDescent="0.3">
      <c r="A15" s="5" t="s">
        <v>32</v>
      </c>
      <c r="B15">
        <v>24561</v>
      </c>
      <c r="C15">
        <v>28000</v>
      </c>
      <c r="D15">
        <f>Table4[[#This Row],[check FC limit]]-Table4[[#This Row],[current FC]]</f>
        <v>3439</v>
      </c>
      <c r="E15">
        <v>6</v>
      </c>
      <c r="F15">
        <f>ROUND(Table4[[#This Row],[remaining FC]]/Table4[[#This Row],[Daily FC]],0)</f>
        <v>573</v>
      </c>
      <c r="G15" t="str">
        <f>IF(Table4[[#This Row],[estimated FC days left]]&lt;=10,"urgent",IF(Table4[[#This Row],[estimated FC days left]]&lt;=30,"plan","normal"))</f>
        <v>normal</v>
      </c>
    </row>
    <row r="16" spans="1:10" x14ac:dyDescent="0.3">
      <c r="A16" s="7" t="s">
        <v>33</v>
      </c>
      <c r="B16">
        <v>23456</v>
      </c>
      <c r="C16">
        <v>23556</v>
      </c>
      <c r="D16">
        <f>Table4[[#This Row],[check FC limit]]-Table4[[#This Row],[current FC]]</f>
        <v>100</v>
      </c>
      <c r="E16">
        <v>5</v>
      </c>
      <c r="F16">
        <f>ROUND(Table4[[#This Row],[remaining FC]]/Table4[[#This Row],[Daily FC]],0)</f>
        <v>20</v>
      </c>
      <c r="G16" t="str">
        <f>IF(Table4[[#This Row],[estimated FC days left]]&lt;=10,"urgent",IF(Table4[[#This Row],[estimated FC days left]]&lt;=30,"plan","normal"))</f>
        <v>plan</v>
      </c>
    </row>
    <row r="17" spans="1:7" x14ac:dyDescent="0.3">
      <c r="A17" s="5" t="s">
        <v>34</v>
      </c>
      <c r="B17">
        <v>17965</v>
      </c>
      <c r="C17">
        <v>18000</v>
      </c>
      <c r="D17">
        <f>Table4[[#This Row],[check FC limit]]-Table4[[#This Row],[current FC]]</f>
        <v>35</v>
      </c>
      <c r="E17">
        <v>6</v>
      </c>
      <c r="F17">
        <f>ROUND(Table4[[#This Row],[remaining FC]]/Table4[[#This Row],[Daily FC]],0)</f>
        <v>6</v>
      </c>
      <c r="G17" t="str">
        <f>IF(Table4[[#This Row],[estimated FC days left]]&lt;=10,"urgent",IF(Table4[[#This Row],[estimated FC days left]]&lt;=30,"plan","normal"))</f>
        <v>urgent</v>
      </c>
    </row>
    <row r="18" spans="1:7" x14ac:dyDescent="0.3">
      <c r="A18" s="7" t="s">
        <v>35</v>
      </c>
      <c r="B18">
        <v>62431</v>
      </c>
      <c r="C18">
        <v>63000</v>
      </c>
      <c r="D18">
        <f>Table4[[#This Row],[check FC limit]]-Table4[[#This Row],[current FC]]</f>
        <v>569</v>
      </c>
      <c r="E18">
        <v>9</v>
      </c>
      <c r="F18">
        <f>ROUND(Table4[[#This Row],[remaining FC]]/Table4[[#This Row],[Daily FC]],0)</f>
        <v>63</v>
      </c>
      <c r="G18" t="str">
        <f>IF(Table4[[#This Row],[estimated FC days left]]&lt;=10,"urgent",IF(Table4[[#This Row],[estimated FC days left]]&lt;=30,"plan","normal"))</f>
        <v>normal</v>
      </c>
    </row>
    <row r="19" spans="1:7" x14ac:dyDescent="0.3">
      <c r="A19" s="5" t="s">
        <v>36</v>
      </c>
      <c r="B19">
        <v>23467</v>
      </c>
      <c r="C19">
        <v>24000</v>
      </c>
      <c r="D19">
        <f>Table4[[#This Row],[check FC limit]]-Table4[[#This Row],[current FC]]</f>
        <v>533</v>
      </c>
      <c r="E19">
        <v>8</v>
      </c>
      <c r="F19">
        <f>ROUND(Table4[[#This Row],[remaining FC]]/Table4[[#This Row],[Daily FC]],0)</f>
        <v>67</v>
      </c>
      <c r="G19" t="str">
        <f>IF(Table4[[#This Row],[estimated FC days left]]&lt;=10,"urgent",IF(Table4[[#This Row],[estimated FC days left]]&lt;=30,"plan","normal"))</f>
        <v>normal</v>
      </c>
    </row>
    <row r="20" spans="1:7" x14ac:dyDescent="0.3">
      <c r="A20" s="7" t="s">
        <v>37</v>
      </c>
      <c r="B20">
        <v>23455</v>
      </c>
      <c r="C20">
        <v>29900</v>
      </c>
      <c r="D20">
        <f>Table4[[#This Row],[check FC limit]]-Table4[[#This Row],[current FC]]</f>
        <v>6445</v>
      </c>
      <c r="E20">
        <v>4</v>
      </c>
      <c r="F20">
        <f>ROUND(Table4[[#This Row],[remaining FC]]/Table4[[#This Row],[Daily FC]],0)</f>
        <v>1611</v>
      </c>
      <c r="G20" t="str">
        <f>IF(Table4[[#This Row],[estimated FC days left]]&lt;=10,"urgent",IF(Table4[[#This Row],[estimated FC days left]]&lt;=30,"plan","normal"))</f>
        <v>normal</v>
      </c>
    </row>
    <row r="21" spans="1:7" x14ac:dyDescent="0.3">
      <c r="A21" s="5" t="s">
        <v>38</v>
      </c>
      <c r="B21">
        <v>43642</v>
      </c>
      <c r="C21">
        <v>65000</v>
      </c>
      <c r="D21">
        <f>Table4[[#This Row],[check FC limit]]-Table4[[#This Row],[current FC]]</f>
        <v>21358</v>
      </c>
      <c r="E21">
        <v>5</v>
      </c>
      <c r="F21">
        <f>ROUND(Table4[[#This Row],[remaining FC]]/Table4[[#This Row],[Daily FC]],0)</f>
        <v>4272</v>
      </c>
      <c r="G21" t="str">
        <f>IF(Table4[[#This Row],[estimated FC days left]]&lt;=10,"urgent",IF(Table4[[#This Row],[estimated FC days left]]&lt;=30,"plan","normal"))</f>
        <v>normal</v>
      </c>
    </row>
  </sheetData>
  <conditionalFormatting sqref="G2:G10">
    <cfRule type="cellIs" dxfId="20" priority="11" operator="lessThan">
      <formula>14</formula>
    </cfRule>
    <cfRule type="cellIs" dxfId="19" priority="12" operator="lessThan">
      <formula>28.07692308</formula>
    </cfRule>
    <cfRule type="cellIs" dxfId="18" priority="13" operator="greaterThan">
      <formula>30</formula>
    </cfRule>
    <cfRule type="cellIs" dxfId="17" priority="14" operator="lessThan">
      <formula>28</formula>
    </cfRule>
    <cfRule type="cellIs" dxfId="16" priority="15" operator="lessThan">
      <formula>15</formula>
    </cfRule>
  </conditionalFormatting>
  <conditionalFormatting sqref="H2:H10">
    <cfRule type="timePeriod" dxfId="15" priority="1" timePeriod="nextMonth">
      <formula>AND(MONTH(H2)=MONTH(EDATE(TODAY(),0+1)),YEAR(H2)=YEAR(EDATE(TODAY(),0+1)))</formula>
    </cfRule>
    <cfRule type="timePeriod" dxfId="14" priority="2" timePeriod="thisWeek">
      <formula>AND(TODAY()-ROUNDDOWN(H2,0)&lt;=WEEKDAY(TODAY())-1,ROUNDDOWN(H2,0)-TODAY()&lt;=7-WEEKDAY(TODAY()))</formula>
    </cfRule>
    <cfRule type="timePeriod" dxfId="13" priority="3" timePeriod="thisMonth">
      <formula>AND(MONTH(H2)=MONTH(TODAY()),YEAR(H2)=YEAR(TODAY()))</formula>
    </cfRule>
    <cfRule type="timePeriod" dxfId="12" priority="4" timePeriod="yesterday">
      <formula>FLOOR(H2,1)=TODAY()-1</formula>
    </cfRule>
    <cfRule type="timePeriod" dxfId="11" priority="5" timePeriod="thisWeek">
      <formula>AND(TODAY()-ROUNDDOWN(H2,0)&lt;=WEEKDAY(TODAY())-1,ROUNDDOWN(H2,0)-TODAY()&lt;=7-WEEKDAY(TODAY()))</formula>
    </cfRule>
    <cfRule type="timePeriod" dxfId="10" priority="6" timePeriod="yesterday">
      <formula>FLOOR(H2,1)=TODAY()-1</formula>
    </cfRule>
  </conditionalFormatting>
  <conditionalFormatting sqref="I2:I10">
    <cfRule type="containsText" dxfId="9" priority="7" operator="containsText" text="urgent">
      <formula>NOT(ISERROR(SEARCH("urgent",I2)))</formula>
    </cfRule>
    <cfRule type="containsText" dxfId="8" priority="8" operator="containsText" text="PLAN">
      <formula>NOT(ISERROR(SEARCH("PLAN",I2)))</formula>
    </cfRule>
    <cfRule type="containsText" dxfId="7" priority="9" operator="containsText" text="AOG RISK">
      <formula>NOT(ISERROR(SEARCH("AOG RISK",I2)))</formula>
    </cfRule>
    <cfRule type="containsText" dxfId="6" priority="10" operator="containsText" text="normal">
      <formula>NOT(ISERROR(SEARCH("normal",I2)))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A3B5-6D8C-4D0B-8E4F-7D3815A647F7}">
  <dimension ref="A1:H10"/>
  <sheetViews>
    <sheetView workbookViewId="0">
      <selection activeCell="C5" sqref="C5"/>
    </sheetView>
  </sheetViews>
  <sheetFormatPr defaultRowHeight="15.6" x14ac:dyDescent="0.3"/>
  <cols>
    <col min="1" max="1" width="11" bestFit="1" customWidth="1"/>
    <col min="2" max="2" width="10.69921875" bestFit="1" customWidth="1"/>
    <col min="3" max="3" width="13.5" bestFit="1" customWidth="1"/>
    <col min="4" max="4" width="13.296875" bestFit="1" customWidth="1"/>
    <col min="5" max="5" width="14.59765625" bestFit="1" customWidth="1"/>
    <col min="6" max="6" width="14.3984375" bestFit="1" customWidth="1"/>
    <col min="7" max="7" width="20" bestFit="1" customWidth="1"/>
    <col min="8" max="8" width="19.796875" bestFit="1" customWidth="1"/>
  </cols>
  <sheetData>
    <row r="1" spans="1:8" x14ac:dyDescent="0.3">
      <c r="A1" t="s">
        <v>63</v>
      </c>
      <c r="B1" t="s">
        <v>64</v>
      </c>
      <c r="C1" t="s">
        <v>65</v>
      </c>
      <c r="D1" t="s">
        <v>66</v>
      </c>
      <c r="E1" t="s">
        <v>68</v>
      </c>
      <c r="F1" t="s">
        <v>69</v>
      </c>
      <c r="G1" t="s">
        <v>70</v>
      </c>
      <c r="H1" t="s">
        <v>67</v>
      </c>
    </row>
    <row r="2" spans="1:8" x14ac:dyDescent="0.3">
      <c r="A2" t="s">
        <v>30</v>
      </c>
      <c r="B2" t="s">
        <v>71</v>
      </c>
      <c r="C2" s="5">
        <v>32450</v>
      </c>
      <c r="D2" s="5">
        <v>32000</v>
      </c>
      <c r="E2">
        <v>7</v>
      </c>
      <c r="F2">
        <v>3</v>
      </c>
      <c r="G2">
        <v>500</v>
      </c>
      <c r="H2">
        <v>35000</v>
      </c>
    </row>
    <row r="3" spans="1:8" x14ac:dyDescent="0.3">
      <c r="A3" s="6" t="s">
        <v>31</v>
      </c>
      <c r="B3" t="s">
        <v>72</v>
      </c>
      <c r="C3" s="7">
        <v>28900</v>
      </c>
      <c r="D3" s="7">
        <v>34345</v>
      </c>
      <c r="E3">
        <v>8</v>
      </c>
      <c r="F3">
        <v>4</v>
      </c>
      <c r="G3">
        <v>750</v>
      </c>
      <c r="H3" s="7">
        <v>37000</v>
      </c>
    </row>
    <row r="4" spans="1:8" x14ac:dyDescent="0.3">
      <c r="A4" s="4" t="s">
        <v>32</v>
      </c>
      <c r="B4" t="s">
        <v>73</v>
      </c>
      <c r="C4" s="5">
        <v>40120</v>
      </c>
      <c r="D4" s="5">
        <v>24561</v>
      </c>
      <c r="E4">
        <v>8</v>
      </c>
      <c r="F4" s="11">
        <v>5</v>
      </c>
      <c r="G4" s="11">
        <v>800</v>
      </c>
      <c r="H4" s="5">
        <v>28000</v>
      </c>
    </row>
    <row r="5" spans="1:8" x14ac:dyDescent="0.3">
      <c r="A5" s="6" t="s">
        <v>33</v>
      </c>
      <c r="B5" t="s">
        <v>76</v>
      </c>
      <c r="C5" s="7">
        <v>25000</v>
      </c>
      <c r="D5" s="7">
        <v>23456</v>
      </c>
      <c r="E5">
        <v>9</v>
      </c>
      <c r="F5">
        <v>6</v>
      </c>
      <c r="G5">
        <v>400</v>
      </c>
      <c r="H5" s="7">
        <v>23556</v>
      </c>
    </row>
    <row r="6" spans="1:8" x14ac:dyDescent="0.3">
      <c r="A6" s="4" t="s">
        <v>34</v>
      </c>
      <c r="B6" t="s">
        <v>77</v>
      </c>
      <c r="C6" s="5">
        <v>26000</v>
      </c>
      <c r="D6" s="5">
        <v>17965</v>
      </c>
      <c r="E6">
        <v>10</v>
      </c>
      <c r="F6" s="11">
        <v>7</v>
      </c>
      <c r="G6" s="11">
        <v>350</v>
      </c>
      <c r="H6" s="5">
        <v>18000</v>
      </c>
    </row>
    <row r="7" spans="1:8" x14ac:dyDescent="0.3">
      <c r="A7" s="6" t="s">
        <v>35</v>
      </c>
      <c r="B7" t="s">
        <v>74</v>
      </c>
      <c r="C7" s="7">
        <v>21943</v>
      </c>
      <c r="D7" s="7">
        <v>62431</v>
      </c>
      <c r="E7">
        <v>13</v>
      </c>
      <c r="F7">
        <v>8</v>
      </c>
      <c r="G7">
        <v>1000</v>
      </c>
      <c r="H7" s="7">
        <v>63000</v>
      </c>
    </row>
    <row r="8" spans="1:8" x14ac:dyDescent="0.3">
      <c r="A8" s="4" t="s">
        <v>36</v>
      </c>
      <c r="B8" t="s">
        <v>75</v>
      </c>
      <c r="C8" s="5">
        <v>37894</v>
      </c>
      <c r="D8" s="5">
        <v>23467</v>
      </c>
      <c r="E8">
        <v>14</v>
      </c>
      <c r="F8" s="11">
        <v>6</v>
      </c>
      <c r="G8" s="11">
        <v>750</v>
      </c>
      <c r="H8" s="5">
        <v>24000</v>
      </c>
    </row>
    <row r="9" spans="1:8" x14ac:dyDescent="0.3">
      <c r="A9" s="6" t="s">
        <v>37</v>
      </c>
      <c r="B9" t="s">
        <v>78</v>
      </c>
      <c r="C9" s="7">
        <v>34526</v>
      </c>
      <c r="D9" s="7">
        <v>23455</v>
      </c>
      <c r="E9">
        <v>8</v>
      </c>
      <c r="F9">
        <v>5</v>
      </c>
      <c r="G9">
        <v>1000</v>
      </c>
      <c r="H9" s="7">
        <v>29900</v>
      </c>
    </row>
    <row r="10" spans="1:8" x14ac:dyDescent="0.3">
      <c r="A10" s="4" t="s">
        <v>38</v>
      </c>
      <c r="B10" t="s">
        <v>76</v>
      </c>
      <c r="C10" s="5">
        <v>45673</v>
      </c>
      <c r="D10" s="5">
        <v>43642</v>
      </c>
      <c r="E10">
        <v>9</v>
      </c>
      <c r="F10" s="11">
        <v>4</v>
      </c>
      <c r="G10" s="11">
        <v>400</v>
      </c>
      <c r="H10" s="5">
        <v>65000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3715-BEE5-4557-8C52-853531DE247B}">
  <dimension ref="A1:F10"/>
  <sheetViews>
    <sheetView workbookViewId="0">
      <selection activeCell="A8" sqref="A8"/>
    </sheetView>
  </sheetViews>
  <sheetFormatPr defaultRowHeight="15.6" x14ac:dyDescent="0.3"/>
  <cols>
    <col min="2" max="2" width="14.09765625" customWidth="1"/>
    <col min="3" max="3" width="11.19921875" customWidth="1"/>
    <col min="4" max="4" width="13.09765625" customWidth="1"/>
    <col min="5" max="5" width="12.3984375" customWidth="1"/>
    <col min="6" max="6" width="20" bestFit="1" customWidth="1"/>
  </cols>
  <sheetData>
    <row r="1" spans="1:6" x14ac:dyDescent="0.3">
      <c r="A1" t="s">
        <v>79</v>
      </c>
      <c r="B1" t="s">
        <v>49</v>
      </c>
      <c r="C1" t="s">
        <v>57</v>
      </c>
      <c r="D1" t="s">
        <v>53</v>
      </c>
      <c r="E1" t="s">
        <v>27</v>
      </c>
      <c r="F1" t="s">
        <v>70</v>
      </c>
    </row>
    <row r="2" spans="1:6" x14ac:dyDescent="0.3">
      <c r="A2" t="s">
        <v>30</v>
      </c>
      <c r="B2">
        <f>_xlfn.XLOOKUP(A2,tblAircraft[AIRCRAFT],tblAircraft[CURRENT FH])</f>
        <v>32450</v>
      </c>
      <c r="C2">
        <f>_xlfn.XLOOKUP(A2,tblAircraft[AIRCRAFT],tblAircraft[CURRENT FC])</f>
        <v>32000</v>
      </c>
      <c r="D2">
        <f>_xlfn.XLOOKUP(A2,tblAircraft[AIRCRAFT],tblAircraft[AVG DAILY FH])</f>
        <v>7</v>
      </c>
      <c r="E2">
        <f>_xlfn.XLOOKUP(A2,tblAircraft[AIRCRAFT],tblAircraft[AVG DAILY FC])</f>
        <v>3</v>
      </c>
      <c r="F2">
        <f>_xlfn.XLOOKUP(A2,tblAircraft[AIRCRAFT],tblAircraft[FH CHECK INTERVAL])</f>
        <v>500</v>
      </c>
    </row>
    <row r="3" spans="1:6" x14ac:dyDescent="0.3">
      <c r="A3" t="s">
        <v>31</v>
      </c>
      <c r="B3">
        <f>_xlfn.XLOOKUP(A3,tblAircraft[AIRCRAFT],tblAircraft[CURRENT FH])</f>
        <v>28900</v>
      </c>
      <c r="C3">
        <f>_xlfn.XLOOKUP(A3,tblAircraft[AIRCRAFT],tblAircraft[CURRENT FC])</f>
        <v>34345</v>
      </c>
      <c r="D3">
        <f>_xlfn.XLOOKUP(A3,tblAircraft[AIRCRAFT],tblAircraft[AVG DAILY FH])</f>
        <v>8</v>
      </c>
      <c r="E3">
        <f>_xlfn.XLOOKUP(A3,tblAircraft[AIRCRAFT],tblAircraft[AVG DAILY FC])</f>
        <v>4</v>
      </c>
      <c r="F3">
        <f>_xlfn.XLOOKUP(A3,tblAircraft[AIRCRAFT],tblAircraft[FH CHECK INTERVAL])</f>
        <v>750</v>
      </c>
    </row>
    <row r="4" spans="1:6" x14ac:dyDescent="0.3">
      <c r="A4" s="4" t="s">
        <v>32</v>
      </c>
      <c r="B4">
        <f>_xlfn.XLOOKUP(A4,tblAircraft[AIRCRAFT],tblAircraft[CURRENT FH])</f>
        <v>40120</v>
      </c>
      <c r="C4">
        <f>_xlfn.XLOOKUP(A4,tblAircraft[AIRCRAFT],tblAircraft[CURRENT FC])</f>
        <v>24561</v>
      </c>
      <c r="D4">
        <f>_xlfn.XLOOKUP(A4,tblAircraft[AIRCRAFT],tblAircraft[AVG DAILY FH])</f>
        <v>8</v>
      </c>
      <c r="E4">
        <f>_xlfn.XLOOKUP(A4,tblAircraft[AIRCRAFT],tblAircraft[AVG DAILY FC])</f>
        <v>5</v>
      </c>
      <c r="F4">
        <f>_xlfn.XLOOKUP(A4,tblAircraft[AIRCRAFT],tblAircraft[FH CHECK INTERVAL])</f>
        <v>800</v>
      </c>
    </row>
    <row r="5" spans="1:6" x14ac:dyDescent="0.3">
      <c r="A5" s="6" t="s">
        <v>33</v>
      </c>
      <c r="B5">
        <f>_xlfn.XLOOKUP(A5,tblAircraft[AIRCRAFT],tblAircraft[CURRENT FH])</f>
        <v>25000</v>
      </c>
      <c r="C5">
        <f>_xlfn.XLOOKUP(A5,tblAircraft[AIRCRAFT],tblAircraft[CURRENT FC])</f>
        <v>23456</v>
      </c>
      <c r="D5">
        <f>_xlfn.XLOOKUP(A5,tblAircraft[AIRCRAFT],tblAircraft[AVG DAILY FH])</f>
        <v>9</v>
      </c>
      <c r="E5">
        <f>_xlfn.XLOOKUP(A5,tblAircraft[AIRCRAFT],tblAircraft[AVG DAILY FC])</f>
        <v>6</v>
      </c>
      <c r="F5">
        <f>_xlfn.XLOOKUP(A5,tblAircraft[AIRCRAFT],tblAircraft[FH CHECK INTERVAL])</f>
        <v>400</v>
      </c>
    </row>
    <row r="6" spans="1:6" x14ac:dyDescent="0.3">
      <c r="A6" s="4" t="s">
        <v>34</v>
      </c>
      <c r="B6">
        <f>_xlfn.XLOOKUP(A6,tblAircraft[AIRCRAFT],tblAircraft[CURRENT FH])</f>
        <v>26000</v>
      </c>
      <c r="C6">
        <f>_xlfn.XLOOKUP(A6,tblAircraft[AIRCRAFT],tblAircraft[CURRENT FC])</f>
        <v>17965</v>
      </c>
      <c r="D6">
        <f>_xlfn.XLOOKUP(A6,tblAircraft[AIRCRAFT],tblAircraft[AVG DAILY FH])</f>
        <v>10</v>
      </c>
      <c r="E6">
        <f>_xlfn.XLOOKUP(A6,tblAircraft[AIRCRAFT],tblAircraft[AVG DAILY FC])</f>
        <v>7</v>
      </c>
      <c r="F6">
        <f>_xlfn.XLOOKUP(A6,tblAircraft[AIRCRAFT],tblAircraft[FH CHECK INTERVAL])</f>
        <v>350</v>
      </c>
    </row>
    <row r="7" spans="1:6" x14ac:dyDescent="0.3">
      <c r="A7" s="6" t="s">
        <v>35</v>
      </c>
      <c r="B7">
        <f>_xlfn.XLOOKUP(A7,tblAircraft[AIRCRAFT],tblAircraft[CURRENT FH])</f>
        <v>21943</v>
      </c>
      <c r="C7">
        <f>_xlfn.XLOOKUP(A7,tblAircraft[AIRCRAFT],tblAircraft[CURRENT FC])</f>
        <v>62431</v>
      </c>
      <c r="D7">
        <f>_xlfn.XLOOKUP(A7,tblAircraft[AIRCRAFT],tblAircraft[AVG DAILY FH])</f>
        <v>13</v>
      </c>
      <c r="E7">
        <f>_xlfn.XLOOKUP(A7,tblAircraft[AIRCRAFT],tblAircraft[AVG DAILY FC])</f>
        <v>8</v>
      </c>
      <c r="F7">
        <f>_xlfn.XLOOKUP(A7,tblAircraft[AIRCRAFT],tblAircraft[FH CHECK INTERVAL])</f>
        <v>1000</v>
      </c>
    </row>
    <row r="8" spans="1:6" x14ac:dyDescent="0.3">
      <c r="A8" s="4" t="s">
        <v>36</v>
      </c>
      <c r="B8">
        <f>_xlfn.XLOOKUP(A8,tblAircraft[AIRCRAFT],tblAircraft[CURRENT FH])</f>
        <v>37894</v>
      </c>
      <c r="C8">
        <f>_xlfn.XLOOKUP(A8,tblAircraft[AIRCRAFT],tblAircraft[CURRENT FC])</f>
        <v>23467</v>
      </c>
      <c r="D8">
        <f>_xlfn.XLOOKUP(A8,tblAircraft[AIRCRAFT],tblAircraft[AVG DAILY FH])</f>
        <v>14</v>
      </c>
      <c r="E8">
        <f>_xlfn.XLOOKUP(A8,tblAircraft[AIRCRAFT],tblAircraft[AVG DAILY FC])</f>
        <v>6</v>
      </c>
      <c r="F8">
        <f>_xlfn.XLOOKUP(A8,tblAircraft[AIRCRAFT],tblAircraft[FH CHECK INTERVAL])</f>
        <v>750</v>
      </c>
    </row>
    <row r="9" spans="1:6" x14ac:dyDescent="0.3">
      <c r="A9" s="6" t="s">
        <v>37</v>
      </c>
      <c r="B9">
        <f>_xlfn.XLOOKUP(A9,tblAircraft[AIRCRAFT],tblAircraft[CURRENT FH])</f>
        <v>34526</v>
      </c>
      <c r="C9">
        <f>_xlfn.XLOOKUP(A9,tblAircraft[AIRCRAFT],tblAircraft[CURRENT FC])</f>
        <v>23455</v>
      </c>
      <c r="D9">
        <f>_xlfn.XLOOKUP(A9,tblAircraft[AIRCRAFT],tblAircraft[AVG DAILY FH])</f>
        <v>8</v>
      </c>
      <c r="E9">
        <f>_xlfn.XLOOKUP(A9,tblAircraft[AIRCRAFT],tblAircraft[AVG DAILY FC])</f>
        <v>5</v>
      </c>
      <c r="F9">
        <f>_xlfn.XLOOKUP(A9,tblAircraft[AIRCRAFT],tblAircraft[FH CHECK INTERVAL])</f>
        <v>1000</v>
      </c>
    </row>
    <row r="10" spans="1:6" x14ac:dyDescent="0.3">
      <c r="A10" s="4" t="s">
        <v>38</v>
      </c>
      <c r="B10">
        <f>_xlfn.XLOOKUP(A10,tblAircraft[AIRCRAFT],tblAircraft[CURRENT FH])</f>
        <v>45673</v>
      </c>
      <c r="C10">
        <f>_xlfn.XLOOKUP(A10,tblAircraft[AIRCRAFT],tblAircraft[CURRENT FC])</f>
        <v>43642</v>
      </c>
      <c r="D10">
        <f>_xlfn.XLOOKUP(A10,tblAircraft[AIRCRAFT],tblAircraft[AVG DAILY FH])</f>
        <v>9</v>
      </c>
      <c r="E10">
        <f>_xlfn.XLOOKUP(A10,tblAircraft[AIRCRAFT],tblAircraft[AVG DAILY FC])</f>
        <v>4</v>
      </c>
      <c r="F10">
        <f>_xlfn.XLOOKUP(A10,tblAircraft[AIRCRAFT],tblAircraft[FH CHECK INTERVAL])</f>
        <v>400</v>
      </c>
    </row>
  </sheetData>
  <dataValidations count="1">
    <dataValidation type="list" allowBlank="1" showInputMessage="1" showErrorMessage="1" sqref="A2:A10" xr:uid="{06F3AC04-FDAF-4309-B957-407C79CBD253}">
      <formula1>Aircraftlist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B02F-714D-485E-8FA4-2EED4D100F5E}">
  <dimension ref="A3:C11"/>
  <sheetViews>
    <sheetView workbookViewId="0">
      <selection activeCell="A3" sqref="A3"/>
    </sheetView>
  </sheetViews>
  <sheetFormatPr defaultRowHeight="15.6" x14ac:dyDescent="0.3"/>
  <cols>
    <col min="1" max="1" width="16.19921875" bestFit="1" customWidth="1"/>
    <col min="2" max="2" width="17.796875" bestFit="1" customWidth="1"/>
    <col min="3" max="3" width="26.296875" bestFit="1" customWidth="1"/>
    <col min="4" max="4" width="17.69921875" bestFit="1" customWidth="1"/>
    <col min="5" max="5" width="10.8984375" bestFit="1" customWidth="1"/>
  </cols>
  <sheetData>
    <row r="3" spans="1:3" x14ac:dyDescent="0.3">
      <c r="A3" s="13" t="s">
        <v>114</v>
      </c>
      <c r="B3" t="s">
        <v>116</v>
      </c>
      <c r="C3" t="s">
        <v>117</v>
      </c>
    </row>
    <row r="4" spans="1:3" x14ac:dyDescent="0.3">
      <c r="A4" s="14" t="s">
        <v>90</v>
      </c>
      <c r="B4">
        <v>200</v>
      </c>
      <c r="C4">
        <v>25</v>
      </c>
    </row>
    <row r="5" spans="1:3" x14ac:dyDescent="0.3">
      <c r="A5" s="14" t="s">
        <v>88</v>
      </c>
      <c r="B5">
        <v>300</v>
      </c>
      <c r="C5">
        <v>75</v>
      </c>
    </row>
    <row r="6" spans="1:3" x14ac:dyDescent="0.3">
      <c r="A6" s="14" t="s">
        <v>95</v>
      </c>
      <c r="B6">
        <v>550</v>
      </c>
      <c r="C6">
        <v>69</v>
      </c>
    </row>
    <row r="7" spans="1:3" x14ac:dyDescent="0.3">
      <c r="A7" s="14" t="s">
        <v>92</v>
      </c>
      <c r="B7">
        <v>4045</v>
      </c>
      <c r="C7">
        <v>809</v>
      </c>
    </row>
    <row r="8" spans="1:3" x14ac:dyDescent="0.3">
      <c r="A8" s="14" t="s">
        <v>94</v>
      </c>
      <c r="B8">
        <v>500</v>
      </c>
      <c r="C8">
        <v>167</v>
      </c>
    </row>
    <row r="9" spans="1:3" x14ac:dyDescent="0.3">
      <c r="A9" s="14" t="s">
        <v>96</v>
      </c>
      <c r="B9">
        <v>10</v>
      </c>
      <c r="C9">
        <v>2</v>
      </c>
    </row>
    <row r="10" spans="1:3" x14ac:dyDescent="0.3">
      <c r="A10" s="14" t="s">
        <v>89</v>
      </c>
      <c r="B10">
        <v>50</v>
      </c>
      <c r="C10">
        <v>13</v>
      </c>
    </row>
    <row r="11" spans="1:3" x14ac:dyDescent="0.3">
      <c r="A11" s="14" t="s">
        <v>115</v>
      </c>
      <c r="B11">
        <v>5655</v>
      </c>
      <c r="C11">
        <v>1160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A7F7-FFF1-49DB-8C1A-88E9449BCC40}">
  <dimension ref="A1:L11"/>
  <sheetViews>
    <sheetView tabSelected="1" zoomScale="72" workbookViewId="0">
      <selection activeCell="L14" sqref="L14"/>
    </sheetView>
  </sheetViews>
  <sheetFormatPr defaultRowHeight="15.6" x14ac:dyDescent="0.3"/>
  <cols>
    <col min="1" max="1" width="11" bestFit="1" customWidth="1"/>
    <col min="2" max="2" width="16.19921875" bestFit="1" customWidth="1"/>
    <col min="3" max="3" width="17.19921875" bestFit="1" customWidth="1"/>
    <col min="4" max="4" width="12.59765625" bestFit="1" customWidth="1"/>
    <col min="5" max="5" width="20.3984375" bestFit="1" customWidth="1"/>
    <col min="6" max="6" width="17.09765625" bestFit="1" customWidth="1"/>
    <col min="7" max="7" width="18.296875" bestFit="1" customWidth="1"/>
    <col min="8" max="8" width="16.5" bestFit="1" customWidth="1"/>
    <col min="9" max="9" width="21.796875" customWidth="1"/>
    <col min="10" max="10" width="12.796875" customWidth="1"/>
    <col min="11" max="11" width="22.19921875" bestFit="1" customWidth="1"/>
    <col min="12" max="12" width="24.09765625" bestFit="1" customWidth="1"/>
  </cols>
  <sheetData>
    <row r="1" spans="1:12" x14ac:dyDescent="0.3">
      <c r="A1" t="s">
        <v>112</v>
      </c>
      <c r="B1" t="s">
        <v>80</v>
      </c>
      <c r="C1" t="s">
        <v>99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109</v>
      </c>
      <c r="L1" t="s">
        <v>110</v>
      </c>
    </row>
    <row r="2" spans="1:12" x14ac:dyDescent="0.3">
      <c r="A2" t="s">
        <v>30</v>
      </c>
      <c r="B2" t="s">
        <v>88</v>
      </c>
      <c r="C2" t="s">
        <v>100</v>
      </c>
      <c r="D2" t="s">
        <v>25</v>
      </c>
      <c r="E2">
        <v>3000</v>
      </c>
      <c r="F2">
        <v>2700</v>
      </c>
      <c r="G2">
        <f>E2-F2</f>
        <v>300</v>
      </c>
      <c r="H2">
        <v>4</v>
      </c>
      <c r="I2">
        <f>ROUND(G2/H2,0)</f>
        <v>75</v>
      </c>
      <c r="J2" t="str">
        <f>IF(I2&lt;12,"CRITICAL",IF(I2&lt;=45,"PLAN","NORMAL"))</f>
        <v>NORMAL</v>
      </c>
      <c r="K2">
        <v>100</v>
      </c>
      <c r="L2" t="str">
        <f>IF(Table7[[#This Row],[REMAINING ]]&lt;=Table7[[#This Row],[WARNING THRESHOLD]],"REPLACE URGENTLY",IF(Table7[[#This Row],[REMAINING ]]&lt;=Table7[[#This Row],[WARNING THRESHOLD]]*1.5,"plan replacement","normal"))</f>
        <v>normal</v>
      </c>
    </row>
    <row r="3" spans="1:12" x14ac:dyDescent="0.3">
      <c r="A3" t="s">
        <v>30</v>
      </c>
      <c r="B3" t="s">
        <v>89</v>
      </c>
      <c r="C3" t="s">
        <v>101</v>
      </c>
      <c r="D3" t="s">
        <v>25</v>
      </c>
      <c r="E3">
        <v>500</v>
      </c>
      <c r="F3">
        <v>450</v>
      </c>
      <c r="G3">
        <f t="shared" ref="G3:G4" si="0">E3-F3</f>
        <v>50</v>
      </c>
      <c r="H3">
        <v>4</v>
      </c>
      <c r="I3">
        <f t="shared" ref="I3:I4" si="1">ROUND(G3/H3,0)</f>
        <v>13</v>
      </c>
      <c r="J3" t="str">
        <f t="shared" ref="J3:J4" si="2">IF(I3&lt;12,"CRITICAL",IF(I3&lt;=45,"PLAN","NORMAL"))</f>
        <v>PLAN</v>
      </c>
      <c r="K3">
        <v>30</v>
      </c>
      <c r="L3" t="str">
        <f>IF(Table7[[#This Row],[REMAINING ]]&lt;=Table7[[#This Row],[WARNING THRESHOLD]],"REPLACE URGENTLY",IF(Table7[[#This Row],[REMAINING ]]&lt;=Table7[[#This Row],[WARNING THRESHOLD]]*1.5,"plan replacement","normal"))</f>
        <v>normal</v>
      </c>
    </row>
    <row r="4" spans="1:12" x14ac:dyDescent="0.3">
      <c r="A4" t="s">
        <v>31</v>
      </c>
      <c r="B4" t="s">
        <v>90</v>
      </c>
      <c r="C4" t="s">
        <v>102</v>
      </c>
      <c r="D4" t="s">
        <v>24</v>
      </c>
      <c r="E4">
        <v>5400</v>
      </c>
      <c r="F4">
        <v>5200</v>
      </c>
      <c r="G4">
        <f t="shared" si="0"/>
        <v>200</v>
      </c>
      <c r="H4">
        <v>8</v>
      </c>
      <c r="I4">
        <f t="shared" si="1"/>
        <v>25</v>
      </c>
      <c r="J4" t="str">
        <f t="shared" si="2"/>
        <v>PLAN</v>
      </c>
      <c r="K4">
        <v>170</v>
      </c>
      <c r="L4" t="str">
        <f>IF(Table7[[#This Row],[REMAINING ]]&lt;=Table7[[#This Row],[WARNING THRESHOLD]],"REPLACE URGENTLY",IF(Table7[[#This Row],[REMAINING ]]&lt;=Table7[[#This Row],[WARNING THRESHOLD]]*1.5,"plan replacement","normal"))</f>
        <v>plan replacement</v>
      </c>
    </row>
    <row r="5" spans="1:12" x14ac:dyDescent="0.3">
      <c r="A5" t="s">
        <v>31</v>
      </c>
      <c r="B5" t="s">
        <v>95</v>
      </c>
      <c r="C5" t="s">
        <v>103</v>
      </c>
      <c r="D5" t="s">
        <v>24</v>
      </c>
      <c r="E5">
        <v>2000</v>
      </c>
      <c r="F5">
        <v>1450</v>
      </c>
      <c r="G5">
        <f>E5-F5</f>
        <v>550</v>
      </c>
      <c r="H5">
        <v>8</v>
      </c>
      <c r="I5">
        <f>ROUND(G5/H5,0)</f>
        <v>69</v>
      </c>
      <c r="J5" t="str">
        <f>IF(I5&lt;12,"CRITICAL",IF(I5&lt;=45,"PLAN","NORMAL"))</f>
        <v>NORMAL</v>
      </c>
      <c r="K5">
        <v>200</v>
      </c>
      <c r="L5" t="str">
        <f>IF(Table7[[#This Row],[REMAINING ]]&lt;=Table7[[#This Row],[WARNING THRESHOLD]],"REPLACE URGENTLY",IF(Table7[[#This Row],[REMAINING ]]&lt;=Table7[[#This Row],[WARNING THRESHOLD]]*1.5,"plan replacement","normal"))</f>
        <v>normal</v>
      </c>
    </row>
    <row r="6" spans="1:12" x14ac:dyDescent="0.3">
      <c r="A6" t="s">
        <v>32</v>
      </c>
      <c r="B6" t="s">
        <v>92</v>
      </c>
      <c r="C6" t="s">
        <v>104</v>
      </c>
      <c r="D6" t="s">
        <v>24</v>
      </c>
      <c r="E6">
        <v>7500</v>
      </c>
      <c r="F6">
        <v>3455</v>
      </c>
      <c r="G6">
        <f>E6-F6</f>
        <v>4045</v>
      </c>
      <c r="H6">
        <v>5</v>
      </c>
      <c r="I6">
        <f>ROUND(G6/H6,0)</f>
        <v>809</v>
      </c>
      <c r="J6" t="str">
        <f>IF(I6&lt;12,"CRITICAL",IF(I6&lt;=45,"PLAN","NORMAL"))</f>
        <v>NORMAL</v>
      </c>
      <c r="K6">
        <v>350</v>
      </c>
      <c r="L6" t="str">
        <f>IF(Table7[[#This Row],[REMAINING ]]&lt;=Table7[[#This Row],[WARNING THRESHOLD]],"REPLACE URGENTLY",IF(Table7[[#This Row],[REMAINING ]]&lt;=Table7[[#This Row],[WARNING THRESHOLD]]*1.5,"plan replacement","normal"))</f>
        <v>normal</v>
      </c>
    </row>
    <row r="7" spans="1:12" x14ac:dyDescent="0.3">
      <c r="A7" t="s">
        <v>32</v>
      </c>
      <c r="B7" t="s">
        <v>96</v>
      </c>
      <c r="C7" t="s">
        <v>105</v>
      </c>
      <c r="D7" t="s">
        <v>25</v>
      </c>
      <c r="E7">
        <v>8500</v>
      </c>
      <c r="F7">
        <v>8490</v>
      </c>
      <c r="G7">
        <f>E7-F7</f>
        <v>10</v>
      </c>
      <c r="H7">
        <v>5</v>
      </c>
      <c r="I7">
        <f>ROUND(G7/H7,0)</f>
        <v>2</v>
      </c>
      <c r="J7" t="str">
        <f>IF(I7&lt;12,"CRITICAL",IF(I7&lt;=45,"PLAN","NORMAL"))</f>
        <v>CRITICAL</v>
      </c>
      <c r="K7">
        <v>200</v>
      </c>
      <c r="L7" t="str">
        <f>IF(Table7[[#This Row],[REMAINING ]]&lt;=Table7[[#This Row],[WARNING THRESHOLD]],"REPLACE URGENTLY",IF(Table7[[#This Row],[REMAINING ]]&lt;=Table7[[#This Row],[WARNING THRESHOLD]]*1.5,"plan replacement","normal"))</f>
        <v>REPLACE URGENTLY</v>
      </c>
    </row>
    <row r="8" spans="1:12" x14ac:dyDescent="0.3">
      <c r="A8" t="s">
        <v>93</v>
      </c>
      <c r="B8" t="s">
        <v>94</v>
      </c>
      <c r="C8" t="s">
        <v>106</v>
      </c>
      <c r="D8" t="s">
        <v>25</v>
      </c>
      <c r="E8">
        <v>10000</v>
      </c>
      <c r="F8">
        <v>9500</v>
      </c>
      <c r="G8">
        <f>E8-F8</f>
        <v>500</v>
      </c>
      <c r="H8">
        <v>3</v>
      </c>
      <c r="I8">
        <f>ROUND(G8/H8,0)</f>
        <v>167</v>
      </c>
      <c r="J8" t="str">
        <f>IF(I8&lt;12,"CRITICAL",IF(I8&lt;=45,"PLAN","NORMAL"))</f>
        <v>NORMAL</v>
      </c>
      <c r="K8">
        <v>500</v>
      </c>
      <c r="L8" t="str">
        <f>IF(Table7[[#This Row],[REMAINING ]]&lt;=Table7[[#This Row],[WARNING THRESHOLD]],"REPLACE URGENTLY",IF(Table7[[#This Row],[REMAINING ]]&lt;=Table7[[#This Row],[WARNING THRESHOLD]]*1.5,"plan replacement","normal"))</f>
        <v>REPLACE URGENTLY</v>
      </c>
    </row>
    <row r="10" spans="1:12" x14ac:dyDescent="0.3">
      <c r="A10" t="s">
        <v>63</v>
      </c>
      <c r="B10" t="s">
        <v>80</v>
      </c>
      <c r="C10" t="s">
        <v>99</v>
      </c>
      <c r="D10" t="s">
        <v>81</v>
      </c>
      <c r="E10" t="s">
        <v>97</v>
      </c>
      <c r="F10" t="s">
        <v>98</v>
      </c>
      <c r="G10" t="s">
        <v>108</v>
      </c>
      <c r="H10" t="s">
        <v>111</v>
      </c>
    </row>
    <row r="11" spans="1:12" x14ac:dyDescent="0.3">
      <c r="A11" t="s">
        <v>30</v>
      </c>
      <c r="B11" t="s">
        <v>113</v>
      </c>
      <c r="C11" t="s">
        <v>107</v>
      </c>
      <c r="D11" t="s">
        <v>91</v>
      </c>
      <c r="E11" s="1">
        <v>46174</v>
      </c>
      <c r="F11" s="1">
        <v>46208</v>
      </c>
      <c r="G11" s="12">
        <f ca="1">F11-TODAY()</f>
        <v>33</v>
      </c>
      <c r="H11" t="str">
        <f ca="1">IF(Table8[[#This Row],[DAYS REMAINING]]&lt;=7,"CRITICAL",IF(Table8[[#This Row],[DAYS REMAINING]]&lt;=30,"plan","normal"))</f>
        <v>normal</v>
      </c>
    </row>
  </sheetData>
  <conditionalFormatting sqref="J2:J8">
    <cfRule type="containsText" dxfId="5" priority="4" operator="containsText" text="NORMAL">
      <formula>NOT(ISERROR(SEARCH("NORMAL",J2)))</formula>
    </cfRule>
    <cfRule type="containsText" dxfId="4" priority="5" operator="containsText" text="PLAN">
      <formula>NOT(ISERROR(SEARCH("PLAN",J2)))</formula>
    </cfRule>
    <cfRule type="containsText" dxfId="3" priority="6" operator="containsText" text="CRITICAL">
      <formula>NOT(ISERROR(SEARCH("CRITICAL",J2)))</formula>
    </cfRule>
  </conditionalFormatting>
  <conditionalFormatting sqref="L2:L8">
    <cfRule type="containsText" dxfId="2" priority="1" operator="containsText" text="plan">
      <formula>NOT(ISERROR(SEARCH("plan",L2)))</formula>
    </cfRule>
    <cfRule type="containsText" dxfId="1" priority="2" operator="containsText" text="NORMAL">
      <formula>NOT(ISERROR(SEARCH("NORMAL",L2)))</formula>
    </cfRule>
    <cfRule type="containsText" dxfId="0" priority="3" operator="containsText" text="REPLACE">
      <formula>NOT(ISERROR(SEARCH("REPLACE",L2)))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TRACKER</vt:lpstr>
      <vt:lpstr>fleet utilization</vt:lpstr>
      <vt:lpstr>Sheet2</vt:lpstr>
      <vt:lpstr>maintenance forcasting </vt:lpstr>
      <vt:lpstr>AIRCRAFT MASTER</vt:lpstr>
      <vt:lpstr>AUTOFORECAST</vt:lpstr>
      <vt:lpstr>SheetCOMT1</vt:lpstr>
      <vt:lpstr>COMPONENT TRACKING</vt:lpstr>
      <vt:lpstr>Aircraftlist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ahmed</dc:creator>
  <cp:lastModifiedBy>faraz ahmed</cp:lastModifiedBy>
  <dcterms:created xsi:type="dcterms:W3CDTF">2026-03-03T14:20:13Z</dcterms:created>
  <dcterms:modified xsi:type="dcterms:W3CDTF">2026-06-02T09:25:09Z</dcterms:modified>
</cp:coreProperties>
</file>